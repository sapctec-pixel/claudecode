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drawings/drawing5.xml" ContentType="application/vnd.openxmlformats-officedocument.drawing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الملخص_التنفيذي" sheetId="1" state="visible" r:id="rId1"/>
    <sheet name="البيانات_المنظفة" sheetId="2" state="visible" r:id="rId2"/>
    <sheet name="البيانات_الأصلية" sheetId="3" state="visible" r:id="rId3"/>
    <sheet name="سجل_الجودة" sheetId="4" state="visible" r:id="rId4"/>
    <sheet name="تحليل_المنشآت" sheetId="5" state="visible" r:id="rId5"/>
    <sheet name="تحليل_الفئات" sheetId="6" state="visible" r:id="rId6"/>
    <sheet name="الحالة_والعقود" sheetId="7" state="visible" r:id="rId7"/>
    <sheet name="مخاطر_التصنيف" sheetId="8" state="visible" r:id="rId8"/>
    <sheet name="التوصيات" sheetId="9" state="visible" r:id="rId9"/>
    <sheet name="قاموس_المؤشرات" sheetId="10" state="visible" r:id="rId10"/>
  </sheets>
  <definedNames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0.0"/>
    <numFmt numFmtId="166" formatCode="0.0%"/>
    <numFmt numFmtId="167" formatCode="#,##0 &quot;ر.س&quot;"/>
    <numFmt numFmtId="168" formatCode="#,##0;-#,##0"/>
  </numFmts>
  <fonts count="21">
    <font>
      <name val="Carlito"/>
      <sz val="11"/>
    </font>
    <font>
      <name val="Janna LT"/>
      <b val="1"/>
      <color rgb="FFFFFFFF"/>
      <sz val="11"/>
    </font>
    <font>
      <name val="Janna LT"/>
      <color rgb="FF1F2937"/>
      <sz val="11"/>
    </font>
    <font>
      <name val="Janna LT"/>
      <b val="1"/>
      <color rgb="FFFFFFFF"/>
      <sz val="16"/>
    </font>
    <font>
      <name val="Janna LT"/>
      <b val="1"/>
      <color rgb="FF12314A"/>
      <sz val="13"/>
    </font>
    <font>
      <name val="Janna LT"/>
      <b val="1"/>
      <color rgb="FFFFFFFF"/>
      <sz val="20"/>
    </font>
    <font>
      <name val="Janna LT"/>
      <color rgb="FF667085"/>
      <sz val="10"/>
    </font>
    <font>
      <name val="Janna LT"/>
      <b val="1"/>
      <color rgb="FFFFFFFF"/>
      <sz val="10"/>
    </font>
    <font>
      <name val="Janna LT"/>
      <b val="1"/>
      <color rgb="FF12314A"/>
      <sz val="18"/>
    </font>
    <font>
      <name val="Janna LT"/>
      <b val="1"/>
      <color rgb="FFFFFFFF"/>
      <sz val="12"/>
    </font>
    <font>
      <name val="Janna LT"/>
      <color rgb="FF684C00"/>
      <sz val="11"/>
    </font>
    <font>
      <name val="Janna LT"/>
      <b val="1"/>
      <color rgb="FF12314A"/>
      <sz val="11"/>
    </font>
    <font>
      <name val="Janna LT"/>
      <color rgb="FF1B2A38"/>
      <sz val="10.5"/>
    </font>
    <font>
      <name val="Janna LT"/>
      <b val="1"/>
      <color rgb="FFFFFFFF"/>
      <sz val="15"/>
    </font>
    <font>
      <name val="Janna LT"/>
      <color rgb="FF52697A"/>
      <sz val="10"/>
    </font>
    <font>
      <name val="Janna LT"/>
      <b val="1"/>
      <color rgb="FF234C6E"/>
      <sz val="20"/>
    </font>
    <font>
      <name val="Janna LT"/>
      <color rgb="FF1B2A38"/>
      <sz val="11"/>
    </font>
    <font>
      <name val="Janna LT"/>
      <b val="1"/>
      <color rgb="FF234C6E"/>
      <sz val="11"/>
    </font>
    <font>
      <name val="Janna LT"/>
      <b val="1"/>
      <color rgb="FFB42318"/>
      <sz val="10.5"/>
    </font>
    <font>
      <name val="Janna LT"/>
      <b val="1"/>
      <color rgb="FF1B2A38"/>
      <sz val="10.5"/>
    </font>
    <font>
      <name val="Janna LT"/>
      <b val="1"/>
      <color rgb="FF4FA0C2"/>
      <sz val="10.5"/>
    </font>
  </fonts>
  <fills count="15">
    <fill>
      <patternFill/>
    </fill>
    <fill>
      <patternFill patternType="gray125"/>
    </fill>
    <fill>
      <patternFill patternType="solid">
        <fgColor rgb="FF12314A"/>
      </patternFill>
    </fill>
    <fill>
      <patternFill patternType="solid">
        <fgColor rgb="FFEAF1F6"/>
      </patternFill>
    </fill>
    <fill>
      <patternFill patternType="solid">
        <fgColor rgb="FF1F5E8C"/>
      </patternFill>
    </fill>
    <fill>
      <patternFill patternType="solid">
        <fgColor rgb="FFFFFFFF"/>
      </patternFill>
    </fill>
    <fill>
      <patternFill patternType="solid">
        <fgColor rgb="FFC49A3A"/>
      </patternFill>
    </fill>
    <fill>
      <patternFill patternType="solid">
        <fgColor rgb="FFFFF8E7"/>
      </patternFill>
    </fill>
    <fill>
      <patternFill patternType="solid">
        <fgColor rgb="FF188D8D"/>
      </patternFill>
    </fill>
    <fill>
      <patternFill patternType="solid">
        <fgColor rgb="FF234C6E"/>
      </patternFill>
    </fill>
    <fill>
      <patternFill patternType="solid">
        <fgColor rgb="FFF5F8FA"/>
      </patternFill>
    </fill>
    <fill>
      <patternFill patternType="solid">
        <fgColor rgb="FF245E86"/>
      </patternFill>
    </fill>
    <fill>
      <patternFill patternType="solid">
        <fgColor rgb="FF3B7FB6"/>
      </patternFill>
    </fill>
    <fill>
      <patternFill patternType="solid">
        <fgColor rgb="FFC9972B"/>
      </patternFill>
    </fill>
    <fill>
      <patternFill patternType="solid">
        <fgColor rgb="FFFFF6DD"/>
      </patternFill>
    </fill>
  </fills>
  <borders count="12">
    <border/>
    <border/>
    <border>
      <left/>
      <top/>
    </border>
    <border>
      <right/>
      <top/>
    </border>
    <border>
      <left/>
      <bottom/>
    </border>
    <border>
      <right/>
      <bottom/>
    </border>
    <border>
      <left/>
      <top/>
    </border>
    <border>
      <right/>
      <top/>
    </border>
    <border>
      <left/>
      <bottom/>
    </border>
    <border>
      <right/>
      <bottom/>
    </border>
    <border>
      <left/>
      <right/>
      <top/>
      <bottom/>
    </border>
    <border>
      <left style="thin">
        <color rgb="FFE4E9EF"/>
      </left>
      <right style="thin">
        <color rgb="FFE4E9EF"/>
      </right>
      <top style="thin">
        <color rgb="FFE4E9EF"/>
      </top>
      <bottom style="thin">
        <color rgb="FFE4E9EF"/>
      </bottom>
    </border>
  </borders>
  <cellStyleXfs count="1">
    <xf numFmtId="0" fontId="0" fillId="0" borderId="1"/>
  </cellStyleXfs>
  <cellXfs count="2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horizontal="right" wrapText="1"/>
    </xf>
    <xf numFmtId="0" fontId="2" fillId="0" borderId="0" applyAlignment="1" pivotButton="0" quotePrefix="0" xfId="0">
      <alignment horizontal="right" vertical="center" wrapText="1"/>
    </xf>
    <xf numFmtId="0" fontId="2" fillId="0" borderId="1" pivotButton="0" quotePrefix="0" xfId="0"/>
    <xf numFmtId="0" fontId="2" fillId="0" borderId="1" applyAlignment="1" pivotButton="0" quotePrefix="0" xfId="0">
      <alignment wrapText="1"/>
    </xf>
    <xf numFmtId="0" fontId="2" fillId="0" borderId="1" applyAlignment="1" pivotButton="0" quotePrefix="0" xfId="0">
      <alignment horizontal="right" wrapText="1"/>
    </xf>
    <xf numFmtId="0" fontId="2" fillId="0" borderId="1" applyAlignment="1" pivotButton="0" quotePrefix="0" xfId="0">
      <alignment horizontal="right" vertical="center" wrapText="1"/>
    </xf>
    <xf numFmtId="164" fontId="2" fillId="0" borderId="0" applyAlignment="1" pivotButton="0" quotePrefix="0" xfId="0">
      <alignment horizontal="right" vertical="center" wrapText="1"/>
    </xf>
    <xf numFmtId="164" fontId="2" fillId="0" borderId="1" applyAlignment="1" pivotButton="0" quotePrefix="0" xfId="0">
      <alignment horizontal="right" vertical="center" wrapText="1"/>
    </xf>
    <xf numFmtId="3" fontId="2" fillId="0" borderId="0" applyAlignment="1" pivotButton="0" quotePrefix="0" xfId="0">
      <alignment horizontal="right" vertical="center" wrapText="1"/>
    </xf>
    <xf numFmtId="3" fontId="2" fillId="0" borderId="1" applyAlignment="1" pivotButton="0" quotePrefix="0" xfId="0">
      <alignment horizontal="right" vertical="center" wrapText="1"/>
    </xf>
    <xf numFmtId="165" fontId="2" fillId="0" borderId="0" applyAlignment="1" pivotButton="0" quotePrefix="0" xfId="0">
      <alignment horizontal="right" vertical="center" wrapText="1"/>
    </xf>
    <xf numFmtId="165" fontId="2" fillId="0" borderId="1" applyAlignment="1" pivotButton="0" quotePrefix="0" xfId="0">
      <alignment horizontal="right" vertical="center" wrapText="1"/>
    </xf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0" fontId="3" fillId="2" borderId="0" applyAlignment="1" pivotButton="0" quotePrefix="0" xfId="0">
      <alignment horizontal="right" vertical="center"/>
    </xf>
    <xf numFmtId="0" fontId="3" fillId="2" borderId="1" pivotButton="0" quotePrefix="0" xfId="0"/>
    <xf numFmtId="0" fontId="3" fillId="2" borderId="1" applyAlignment="1" pivotButton="0" quotePrefix="0" xfId="0">
      <alignment horizontal="right"/>
    </xf>
    <xf numFmtId="0" fontId="3" fillId="2" borderId="1" applyAlignment="1" pivotButton="0" quotePrefix="0" xfId="0">
      <alignment horizontal="right" vertical="center"/>
    </xf>
    <xf numFmtId="166" fontId="2" fillId="0" borderId="0" applyAlignment="1" pivotButton="0" quotePrefix="0" xfId="0">
      <alignment horizontal="right" vertical="center" wrapText="1"/>
    </xf>
    <xf numFmtId="166" fontId="2" fillId="0" borderId="1" applyAlignment="1" pivotButton="0" quotePrefix="0" xfId="0">
      <alignment horizontal="right" vertical="center" wrapText="1"/>
    </xf>
    <xf numFmtId="0" fontId="4" fillId="0" borderId="0" pivotButton="0" quotePrefix="0" xfId="0"/>
    <xf numFmtId="0" fontId="4" fillId="0" borderId="1" pivotButton="0" quotePrefix="0" xfId="0"/>
    <xf numFmtId="0" fontId="5" fillId="2" borderId="0" pivotButton="0" quotePrefix="0" xfId="0"/>
    <xf numFmtId="0" fontId="5" fillId="2" borderId="0" applyAlignment="1" pivotButton="0" quotePrefix="0" xfId="0">
      <alignment horizontal="right"/>
    </xf>
    <xf numFmtId="0" fontId="5" fillId="2" borderId="0" applyAlignment="1" pivotButton="0" quotePrefix="0" xfId="0">
      <alignment horizontal="right" vertical="center"/>
    </xf>
    <xf numFmtId="0" fontId="5" fillId="2" borderId="1" pivotButton="0" quotePrefix="0" xfId="0"/>
    <xf numFmtId="0" fontId="5" fillId="2" borderId="1" applyAlignment="1" pivotButton="0" quotePrefix="0" xfId="0">
      <alignment horizontal="right"/>
    </xf>
    <xf numFmtId="0" fontId="5" fillId="2" borderId="1" applyAlignment="1" pivotButton="0" quotePrefix="0" xfId="0">
      <alignment horizontal="right" vertical="center"/>
    </xf>
    <xf numFmtId="0" fontId="0" fillId="3" borderId="0" pivotButton="0" quotePrefix="0" xfId="0"/>
    <xf numFmtId="0" fontId="6" fillId="3" borderId="0" pivotButton="0" quotePrefix="0" xfId="0"/>
    <xf numFmtId="0" fontId="6" fillId="3" borderId="0" applyAlignment="1" pivotButton="0" quotePrefix="0" xfId="0">
      <alignment horizontal="right"/>
    </xf>
    <xf numFmtId="0" fontId="6" fillId="3" borderId="0" applyAlignment="1" pivotButton="0" quotePrefix="0" xfId="0">
      <alignment horizontal="right" vertical="center"/>
    </xf>
    <xf numFmtId="0" fontId="0" fillId="3" borderId="1" pivotButton="0" quotePrefix="0" xfId="0"/>
    <xf numFmtId="0" fontId="6" fillId="3" borderId="1" pivotButton="0" quotePrefix="0" xfId="0"/>
    <xf numFmtId="0" fontId="6" fillId="3" borderId="1" applyAlignment="1" pivotButton="0" quotePrefix="0" xfId="0">
      <alignment horizontal="right"/>
    </xf>
    <xf numFmtId="0" fontId="6" fillId="3" borderId="1" applyAlignment="1" pivotButton="0" quotePrefix="0" xfId="0">
      <alignment horizontal="right" vertical="center"/>
    </xf>
    <xf numFmtId="0" fontId="0" fillId="4" borderId="0" pivotButton="0" quotePrefix="0" xfId="0"/>
    <xf numFmtId="0" fontId="7" fillId="4" borderId="0" pivotButton="0" quotePrefix="0" xfId="0"/>
    <xf numFmtId="0" fontId="7" fillId="4" borderId="0" applyAlignment="1" pivotButton="0" quotePrefix="0" xfId="0">
      <alignment wrapText="1"/>
    </xf>
    <xf numFmtId="0" fontId="7" fillId="4" borderId="0" applyAlignment="1" pivotButton="0" quotePrefix="0" xfId="0">
      <alignment horizontal="center" wrapText="1"/>
    </xf>
    <xf numFmtId="0" fontId="7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7" fillId="4" borderId="1" pivotButton="0" quotePrefix="0" xfId="0"/>
    <xf numFmtId="0" fontId="7" fillId="4" borderId="1" applyAlignment="1" pivotButton="0" quotePrefix="0" xfId="0">
      <alignment wrapText="1"/>
    </xf>
    <xf numFmtId="0" fontId="7" fillId="4" borderId="1" applyAlignment="1" pivotButton="0" quotePrefix="0" xfId="0">
      <alignment horizontal="center" wrapText="1"/>
    </xf>
    <xf numFmtId="0" fontId="7" fillId="4" borderId="1" applyAlignment="1" pivotButton="0" quotePrefix="0" xfId="0">
      <alignment horizontal="center" vertical="center" wrapText="1"/>
    </xf>
    <xf numFmtId="0" fontId="0" fillId="5" borderId="0" pivotButton="0" quotePrefix="0" xfId="0"/>
    <xf numFmtId="0" fontId="8" fillId="5" borderId="0" pivotButton="0" quotePrefix="0" xfId="0"/>
    <xf numFmtId="0" fontId="8" fillId="5" borderId="2" pivotButton="0" quotePrefix="0" xfId="0"/>
    <xf numFmtId="0" fontId="8" fillId="5" borderId="3" pivotButton="0" quotePrefix="0" xfId="0"/>
    <xf numFmtId="0" fontId="8" fillId="5" borderId="4" pivotButton="0" quotePrefix="0" xfId="0"/>
    <xf numFmtId="0" fontId="8" fillId="5" borderId="5" pivotButton="0" quotePrefix="0" xfId="0"/>
    <xf numFmtId="0" fontId="8" fillId="5" borderId="2" applyAlignment="1" pivotButton="0" quotePrefix="0" xfId="0">
      <alignment horizontal="center"/>
    </xf>
    <xf numFmtId="0" fontId="8" fillId="5" borderId="3" applyAlignment="1" pivotButton="0" quotePrefix="0" xfId="0">
      <alignment horizontal="center"/>
    </xf>
    <xf numFmtId="0" fontId="8" fillId="5" borderId="4" applyAlignment="1" pivotButton="0" quotePrefix="0" xfId="0">
      <alignment horizontal="center"/>
    </xf>
    <xf numFmtId="0" fontId="8" fillId="5" borderId="5" applyAlignment="1" pivotButton="0" quotePrefix="0" xfId="0">
      <alignment horizontal="center"/>
    </xf>
    <xf numFmtId="0" fontId="8" fillId="5" borderId="2" applyAlignment="1" pivotButton="0" quotePrefix="0" xfId="0">
      <alignment horizontal="center" vertical="center"/>
    </xf>
    <xf numFmtId="0" fontId="8" fillId="5" borderId="3" applyAlignment="1" pivotButton="0" quotePrefix="0" xfId="0">
      <alignment horizontal="center" vertical="center"/>
    </xf>
    <xf numFmtId="0" fontId="8" fillId="5" borderId="4" applyAlignment="1" pivotButton="0" quotePrefix="0" xfId="0">
      <alignment horizontal="center" vertical="center"/>
    </xf>
    <xf numFmtId="0" fontId="8" fillId="5" borderId="5" applyAlignment="1" pivotButton="0" quotePrefix="0" xfId="0">
      <alignment horizontal="center" vertical="center"/>
    </xf>
    <xf numFmtId="0" fontId="0" fillId="5" borderId="1" pivotButton="0" quotePrefix="0" xfId="0"/>
    <xf numFmtId="0" fontId="8" fillId="5" borderId="1" pivotButton="0" quotePrefix="0" xfId="0"/>
    <xf numFmtId="0" fontId="8" fillId="5" borderId="6" pivotButton="0" quotePrefix="0" xfId="0"/>
    <xf numFmtId="0" fontId="8" fillId="5" borderId="7" pivotButton="0" quotePrefix="0" xfId="0"/>
    <xf numFmtId="0" fontId="8" fillId="5" borderId="8" pivotButton="0" quotePrefix="0" xfId="0"/>
    <xf numFmtId="0" fontId="8" fillId="5" borderId="9" pivotButton="0" quotePrefix="0" xfId="0"/>
    <xf numFmtId="0" fontId="8" fillId="5" borderId="6" applyAlignment="1" pivotButton="0" quotePrefix="0" xfId="0">
      <alignment horizontal="center"/>
    </xf>
    <xf numFmtId="0" fontId="8" fillId="5" borderId="7" applyAlignment="1" pivotButton="0" quotePrefix="0" xfId="0">
      <alignment horizontal="center"/>
    </xf>
    <xf numFmtId="0" fontId="8" fillId="5" borderId="8" applyAlignment="1" pivotButton="0" quotePrefix="0" xfId="0">
      <alignment horizontal="center"/>
    </xf>
    <xf numFmtId="0" fontId="8" fillId="5" borderId="9" applyAlignment="1" pivotButton="0" quotePrefix="0" xfId="0">
      <alignment horizontal="center"/>
    </xf>
    <xf numFmtId="0" fontId="8" fillId="5" borderId="6" applyAlignment="1" pivotButton="0" quotePrefix="0" xfId="0">
      <alignment horizontal="center" vertical="center"/>
    </xf>
    <xf numFmtId="0" fontId="8" fillId="5" borderId="7" applyAlignment="1" pivotButton="0" quotePrefix="0" xfId="0">
      <alignment horizontal="center" vertical="center"/>
    </xf>
    <xf numFmtId="0" fontId="8" fillId="5" borderId="8" applyAlignment="1" pivotButton="0" quotePrefix="0" xfId="0">
      <alignment horizontal="center" vertical="center"/>
    </xf>
    <xf numFmtId="0" fontId="8" fillId="5" borderId="9" applyAlignment="1" pivotButton="0" quotePrefix="0" xfId="0">
      <alignment horizontal="center" vertical="center"/>
    </xf>
    <xf numFmtId="1" fontId="8" fillId="5" borderId="2" applyAlignment="1" pivotButton="0" quotePrefix="0" xfId="0">
      <alignment horizontal="center" vertical="center"/>
    </xf>
    <xf numFmtId="1" fontId="8" fillId="5" borderId="3" applyAlignment="1" pivotButton="0" quotePrefix="0" xfId="0">
      <alignment horizontal="center" vertical="center"/>
    </xf>
    <xf numFmtId="1" fontId="8" fillId="5" borderId="4" applyAlignment="1" pivotButton="0" quotePrefix="0" xfId="0">
      <alignment horizontal="center" vertical="center"/>
    </xf>
    <xf numFmtId="1" fontId="8" fillId="5" borderId="5" applyAlignment="1" pivotButton="0" quotePrefix="0" xfId="0">
      <alignment horizontal="center" vertical="center"/>
    </xf>
    <xf numFmtId="1" fontId="8" fillId="5" borderId="6" applyAlignment="1" pivotButton="0" quotePrefix="0" xfId="0">
      <alignment horizontal="center" vertical="center"/>
    </xf>
    <xf numFmtId="1" fontId="8" fillId="5" borderId="7" applyAlignment="1" pivotButton="0" quotePrefix="0" xfId="0">
      <alignment horizontal="center" vertical="center"/>
    </xf>
    <xf numFmtId="1" fontId="8" fillId="5" borderId="8" applyAlignment="1" pivotButton="0" quotePrefix="0" xfId="0">
      <alignment horizontal="center" vertical="center"/>
    </xf>
    <xf numFmtId="1" fontId="8" fillId="5" borderId="9" applyAlignment="1" pivotButton="0" quotePrefix="0" xfId="0">
      <alignment horizontal="center" vertical="center"/>
    </xf>
    <xf numFmtId="166" fontId="8" fillId="5" borderId="2" applyAlignment="1" pivotButton="0" quotePrefix="0" xfId="0">
      <alignment horizontal="center" vertical="center"/>
    </xf>
    <xf numFmtId="166" fontId="8" fillId="5" borderId="3" applyAlignment="1" pivotButton="0" quotePrefix="0" xfId="0">
      <alignment horizontal="center" vertical="center"/>
    </xf>
    <xf numFmtId="166" fontId="8" fillId="5" borderId="4" applyAlignment="1" pivotButton="0" quotePrefix="0" xfId="0">
      <alignment horizontal="center" vertical="center"/>
    </xf>
    <xf numFmtId="166" fontId="8" fillId="5" borderId="5" applyAlignment="1" pivotButton="0" quotePrefix="0" xfId="0">
      <alignment horizontal="center" vertical="center"/>
    </xf>
    <xf numFmtId="166" fontId="8" fillId="5" borderId="6" applyAlignment="1" pivotButton="0" quotePrefix="0" xfId="0">
      <alignment horizontal="center" vertical="center"/>
    </xf>
    <xf numFmtId="166" fontId="8" fillId="5" borderId="7" applyAlignment="1" pivotButton="0" quotePrefix="0" xfId="0">
      <alignment horizontal="center" vertical="center"/>
    </xf>
    <xf numFmtId="166" fontId="8" fillId="5" borderId="8" applyAlignment="1" pivotButton="0" quotePrefix="0" xfId="0">
      <alignment horizontal="center" vertical="center"/>
    </xf>
    <xf numFmtId="166" fontId="8" fillId="5" borderId="9" applyAlignment="1" pivotButton="0" quotePrefix="0" xfId="0">
      <alignment horizontal="center" vertical="center"/>
    </xf>
    <xf numFmtId="165" fontId="8" fillId="5" borderId="2" applyAlignment="1" pivotButton="0" quotePrefix="0" xfId="0">
      <alignment horizontal="center" vertical="center"/>
    </xf>
    <xf numFmtId="165" fontId="8" fillId="5" borderId="3" applyAlignment="1" pivotButton="0" quotePrefix="0" xfId="0">
      <alignment horizontal="center" vertical="center"/>
    </xf>
    <xf numFmtId="165" fontId="8" fillId="5" borderId="4" applyAlignment="1" pivotButton="0" quotePrefix="0" xfId="0">
      <alignment horizontal="center" vertical="center"/>
    </xf>
    <xf numFmtId="165" fontId="8" fillId="5" borderId="5" applyAlignment="1" pivotButton="0" quotePrefix="0" xfId="0">
      <alignment horizontal="center" vertical="center"/>
    </xf>
    <xf numFmtId="165" fontId="8" fillId="5" borderId="6" applyAlignment="1" pivotButton="0" quotePrefix="0" xfId="0">
      <alignment horizontal="center" vertical="center"/>
    </xf>
    <xf numFmtId="165" fontId="8" fillId="5" borderId="7" applyAlignment="1" pivotButton="0" quotePrefix="0" xfId="0">
      <alignment horizontal="center" vertical="center"/>
    </xf>
    <xf numFmtId="165" fontId="8" fillId="5" borderId="8" applyAlignment="1" pivotButton="0" quotePrefix="0" xfId="0">
      <alignment horizontal="center" vertical="center"/>
    </xf>
    <xf numFmtId="165" fontId="8" fillId="5" borderId="9" applyAlignment="1" pivotButton="0" quotePrefix="0" xfId="0">
      <alignment horizontal="center" vertical="center"/>
    </xf>
    <xf numFmtId="167" fontId="8" fillId="5" borderId="2" applyAlignment="1" pivotButton="0" quotePrefix="0" xfId="0">
      <alignment horizontal="center" vertical="center"/>
    </xf>
    <xf numFmtId="167" fontId="8" fillId="5" borderId="3" applyAlignment="1" pivotButton="0" quotePrefix="0" xfId="0">
      <alignment horizontal="center" vertical="center"/>
    </xf>
    <xf numFmtId="167" fontId="8" fillId="5" borderId="4" applyAlignment="1" pivotButton="0" quotePrefix="0" xfId="0">
      <alignment horizontal="center" vertical="center"/>
    </xf>
    <xf numFmtId="167" fontId="8" fillId="5" borderId="5" applyAlignment="1" pivotButton="0" quotePrefix="0" xfId="0">
      <alignment horizontal="center" vertical="center"/>
    </xf>
    <xf numFmtId="167" fontId="8" fillId="5" borderId="6" applyAlignment="1" pivotButton="0" quotePrefix="0" xfId="0">
      <alignment horizontal="center" vertical="center"/>
    </xf>
    <xf numFmtId="167" fontId="8" fillId="5" borderId="7" applyAlignment="1" pivotButton="0" quotePrefix="0" xfId="0">
      <alignment horizontal="center" vertical="center"/>
    </xf>
    <xf numFmtId="167" fontId="8" fillId="5" borderId="8" applyAlignment="1" pivotButton="0" quotePrefix="0" xfId="0">
      <alignment horizontal="center" vertical="center"/>
    </xf>
    <xf numFmtId="167" fontId="8" fillId="5" borderId="9" applyAlignment="1" pivotButton="0" quotePrefix="0" xfId="0">
      <alignment horizontal="center" vertical="center"/>
    </xf>
    <xf numFmtId="0" fontId="0" fillId="6" borderId="0" pivotButton="0" quotePrefix="0" xfId="0"/>
    <xf numFmtId="0" fontId="9" fillId="6" borderId="0" pivotButton="0" quotePrefix="0" xfId="0"/>
    <xf numFmtId="0" fontId="9" fillId="6" borderId="0" applyAlignment="1" pivotButton="0" quotePrefix="0" xfId="0">
      <alignment horizontal="right"/>
    </xf>
    <xf numFmtId="0" fontId="9" fillId="6" borderId="0" applyAlignment="1" pivotButton="0" quotePrefix="0" xfId="0">
      <alignment horizontal="right" vertical="center"/>
    </xf>
    <xf numFmtId="0" fontId="0" fillId="6" borderId="1" pivotButton="0" quotePrefix="0" xfId="0"/>
    <xf numFmtId="0" fontId="9" fillId="6" borderId="1" pivotButton="0" quotePrefix="0" xfId="0"/>
    <xf numFmtId="0" fontId="9" fillId="6" borderId="1" applyAlignment="1" pivotButton="0" quotePrefix="0" xfId="0">
      <alignment horizontal="right"/>
    </xf>
    <xf numFmtId="0" fontId="9" fillId="6" borderId="1" applyAlignment="1" pivotButton="0" quotePrefix="0" xfId="0">
      <alignment horizontal="right" vertical="center"/>
    </xf>
    <xf numFmtId="0" fontId="0" fillId="7" borderId="0" pivotButton="0" quotePrefix="0" xfId="0"/>
    <xf numFmtId="0" fontId="10" fillId="7" borderId="0" pivotButton="0" quotePrefix="0" xfId="0"/>
    <xf numFmtId="0" fontId="10" fillId="7" borderId="0" applyAlignment="1" pivotButton="0" quotePrefix="0" xfId="0">
      <alignment wrapText="1"/>
    </xf>
    <xf numFmtId="0" fontId="10" fillId="7" borderId="0" applyAlignment="1" pivotButton="0" quotePrefix="0" xfId="0">
      <alignment horizontal="right" wrapText="1"/>
    </xf>
    <xf numFmtId="0" fontId="10" fillId="7" borderId="0" applyAlignment="1" pivotButton="0" quotePrefix="0" xfId="0">
      <alignment horizontal="right" vertical="center" wrapText="1"/>
    </xf>
    <xf numFmtId="0" fontId="0" fillId="7" borderId="1" pivotButton="0" quotePrefix="0" xfId="0"/>
    <xf numFmtId="0" fontId="10" fillId="7" borderId="1" pivotButton="0" quotePrefix="0" xfId="0"/>
    <xf numFmtId="0" fontId="10" fillId="7" borderId="1" applyAlignment="1" pivotButton="0" quotePrefix="0" xfId="0">
      <alignment wrapText="1"/>
    </xf>
    <xf numFmtId="0" fontId="10" fillId="7" borderId="1" applyAlignment="1" pivotButton="0" quotePrefix="0" xfId="0">
      <alignment horizontal="right" wrapText="1"/>
    </xf>
    <xf numFmtId="0" fontId="10" fillId="7" borderId="1" applyAlignment="1" pivotButton="0" quotePrefix="0" xfId="0">
      <alignment horizontal="right" vertical="center" wrapText="1"/>
    </xf>
    <xf numFmtId="0" fontId="9" fillId="2" borderId="0" pivotButton="0" quotePrefix="0" xfId="0"/>
    <xf numFmtId="0" fontId="9" fillId="2" borderId="0" applyAlignment="1" pivotButton="0" quotePrefix="0" xfId="0">
      <alignment horizontal="right"/>
    </xf>
    <xf numFmtId="0" fontId="9" fillId="2" borderId="1" pivotButton="0" quotePrefix="0" xfId="0"/>
    <xf numFmtId="0" fontId="9" fillId="2" borderId="1" applyAlignment="1" pivotButton="0" quotePrefix="0" xfId="0">
      <alignment horizontal="right"/>
    </xf>
    <xf numFmtId="0" fontId="2" fillId="3" borderId="0" applyAlignment="1" pivotButton="0" quotePrefix="0" xfId="0">
      <alignment horizontal="right" vertical="center" wrapText="1"/>
    </xf>
    <xf numFmtId="0" fontId="11" fillId="3" borderId="0" applyAlignment="1" pivotButton="0" quotePrefix="0" xfId="0">
      <alignment horizontal="right" vertical="center" wrapText="1"/>
    </xf>
    <xf numFmtId="0" fontId="11" fillId="3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11" fillId="3" borderId="1" applyAlignment="1" pivotButton="0" quotePrefix="0" xfId="0">
      <alignment horizontal="right" vertical="center" wrapText="1"/>
    </xf>
    <xf numFmtId="0" fontId="11" fillId="3" borderId="1" applyAlignment="1" pivotButton="0" quotePrefix="0" xfId="0">
      <alignment horizontal="center" vertical="center" wrapText="1"/>
    </xf>
    <xf numFmtId="0" fontId="0" fillId="8" borderId="0" pivotButton="0" quotePrefix="0" xfId="0"/>
    <xf numFmtId="0" fontId="9" fillId="8" borderId="0" pivotButton="0" quotePrefix="0" xfId="0"/>
    <xf numFmtId="0" fontId="9" fillId="8" borderId="0" applyAlignment="1" pivotButton="0" quotePrefix="0" xfId="0">
      <alignment horizontal="right"/>
    </xf>
    <xf numFmtId="0" fontId="0" fillId="8" borderId="1" pivotButton="0" quotePrefix="0" xfId="0"/>
    <xf numFmtId="0" fontId="9" fillId="8" borderId="1" pivotButton="0" quotePrefix="0" xfId="0"/>
    <xf numFmtId="0" fontId="9" fillId="8" borderId="1" applyAlignment="1" pivotButton="0" quotePrefix="0" xfId="0">
      <alignment horizontal="right"/>
    </xf>
    <xf numFmtId="0" fontId="2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" fontId="8" fillId="5" borderId="10" applyAlignment="1" pivotButton="0" quotePrefix="0" xfId="0">
      <alignment horizontal="center" vertical="center"/>
    </xf>
    <xf numFmtId="166" fontId="8" fillId="5" borderId="10" applyAlignment="1" pivotButton="0" quotePrefix="0" xfId="0">
      <alignment horizontal="center" vertical="center"/>
    </xf>
    <xf numFmtId="165" fontId="8" fillId="5" borderId="10" applyAlignment="1" pivotButton="0" quotePrefix="0" xfId="0">
      <alignment horizontal="center" vertical="center"/>
    </xf>
    <xf numFmtId="167" fontId="8" fillId="5" borderId="10" applyAlignment="1" pivotButton="0" quotePrefix="0" xfId="0">
      <alignment horizontal="center" vertical="center"/>
    </xf>
    <xf numFmtId="0" fontId="1" fillId="9" borderId="11" applyAlignment="1" pivotButton="0" quotePrefix="0" xfId="0">
      <alignment horizontal="right" vertical="center"/>
    </xf>
    <xf numFmtId="1" fontId="12" fillId="5" borderId="11" applyAlignment="1" pivotButton="0" quotePrefix="0" xfId="0">
      <alignment horizontal="right" vertical="center"/>
    </xf>
    <xf numFmtId="0" fontId="12" fillId="5" borderId="11" applyAlignment="1" pivotButton="0" quotePrefix="0" xfId="0">
      <alignment horizontal="right" vertical="center"/>
    </xf>
    <xf numFmtId="164" fontId="12" fillId="5" borderId="11" applyAlignment="1" pivotButton="0" quotePrefix="0" xfId="0">
      <alignment horizontal="right" vertical="center"/>
    </xf>
    <xf numFmtId="3" fontId="12" fillId="5" borderId="11" applyAlignment="1" pivotButton="0" quotePrefix="0" xfId="0">
      <alignment horizontal="right" vertical="center"/>
    </xf>
    <xf numFmtId="165" fontId="12" fillId="5" borderId="11" applyAlignment="1" pivotButton="0" quotePrefix="0" xfId="0">
      <alignment horizontal="right" vertical="center"/>
    </xf>
    <xf numFmtId="0" fontId="12" fillId="5" borderId="11" applyAlignment="1" pivotButton="0" quotePrefix="0" xfId="0">
      <alignment horizontal="right" vertical="center" wrapText="1"/>
    </xf>
    <xf numFmtId="1" fontId="12" fillId="10" borderId="11" applyAlignment="1" pivotButton="0" quotePrefix="0" xfId="0">
      <alignment horizontal="right" vertical="center"/>
    </xf>
    <xf numFmtId="0" fontId="12" fillId="10" borderId="11" applyAlignment="1" pivotButton="0" quotePrefix="0" xfId="0">
      <alignment horizontal="right" vertical="center"/>
    </xf>
    <xf numFmtId="164" fontId="12" fillId="10" borderId="11" applyAlignment="1" pivotButton="0" quotePrefix="0" xfId="0">
      <alignment horizontal="right" vertical="center"/>
    </xf>
    <xf numFmtId="3" fontId="12" fillId="10" borderId="11" applyAlignment="1" pivotButton="0" quotePrefix="0" xfId="0">
      <alignment horizontal="right" vertical="center"/>
    </xf>
    <xf numFmtId="165" fontId="12" fillId="10" borderId="11" applyAlignment="1" pivotButton="0" quotePrefix="0" xfId="0">
      <alignment horizontal="right" vertical="center"/>
    </xf>
    <xf numFmtId="0" fontId="12" fillId="10" borderId="11" applyAlignment="1" pivotButton="0" quotePrefix="0" xfId="0">
      <alignment horizontal="right" vertical="center" wrapText="1"/>
    </xf>
    <xf numFmtId="166" fontId="2" fillId="0" borderId="0" applyAlignment="1" pivotButton="0" quotePrefix="0" xfId="0">
      <alignment horizontal="right" vertical="center" wrapText="1"/>
    </xf>
    <xf numFmtId="165" fontId="2" fillId="0" borderId="0" applyAlignment="1" pivotButton="0" quotePrefix="0" xfId="0">
      <alignment horizontal="right" vertical="center" wrapText="1"/>
    </xf>
    <xf numFmtId="3" fontId="2" fillId="0" borderId="0" applyAlignment="1" pivotButton="0" quotePrefix="0" xfId="0">
      <alignment horizontal="right" vertical="center" wrapText="1"/>
    </xf>
    <xf numFmtId="164" fontId="2" fillId="0" borderId="0" applyAlignment="1" pivotButton="0" quotePrefix="0" xfId="0">
      <alignment horizontal="right" vertical="center" wrapText="1"/>
    </xf>
    <xf numFmtId="0" fontId="3" fillId="9" borderId="1" applyAlignment="1" pivotButton="0" quotePrefix="0" xfId="0">
      <alignment horizontal="right" vertical="center"/>
    </xf>
    <xf numFmtId="0" fontId="1" fillId="9" borderId="11" applyAlignment="1" pivotButton="0" quotePrefix="0" xfId="0">
      <alignment horizontal="right" vertical="center"/>
    </xf>
    <xf numFmtId="0" fontId="12" fillId="5" borderId="11" applyAlignment="1" pivotButton="0" quotePrefix="0" xfId="0">
      <alignment horizontal="right" vertical="center"/>
    </xf>
    <xf numFmtId="3" fontId="12" fillId="5" borderId="11" applyAlignment="1" pivotButton="0" quotePrefix="0" xfId="0">
      <alignment horizontal="right" vertical="center"/>
    </xf>
    <xf numFmtId="166" fontId="12" fillId="5" borderId="11" applyAlignment="1" pivotButton="0" quotePrefix="0" xfId="0">
      <alignment horizontal="right" vertical="center"/>
    </xf>
    <xf numFmtId="165" fontId="12" fillId="5" borderId="11" applyAlignment="1" pivotButton="0" quotePrefix="0" xfId="0">
      <alignment horizontal="right" vertical="center"/>
    </xf>
    <xf numFmtId="0" fontId="12" fillId="10" borderId="11" applyAlignment="1" pivotButton="0" quotePrefix="0" xfId="0">
      <alignment horizontal="right" vertical="center"/>
    </xf>
    <xf numFmtId="3" fontId="12" fillId="10" borderId="11" applyAlignment="1" pivotButton="0" quotePrefix="0" xfId="0">
      <alignment horizontal="right" vertical="center"/>
    </xf>
    <xf numFmtId="166" fontId="12" fillId="10" borderId="11" applyAlignment="1" pivotButton="0" quotePrefix="0" xfId="0">
      <alignment horizontal="right" vertical="center"/>
    </xf>
    <xf numFmtId="165" fontId="12" fillId="10" borderId="11" applyAlignment="1" pivotButton="0" quotePrefix="0" xfId="0">
      <alignment horizontal="right" vertical="center"/>
    </xf>
    <xf numFmtId="0" fontId="9" fillId="11" borderId="11" applyAlignment="1" pivotButton="0" quotePrefix="0" xfId="0">
      <alignment horizontal="right" vertical="center"/>
    </xf>
    <xf numFmtId="1" fontId="12" fillId="5" borderId="11" applyAlignment="1" pivotButton="0" quotePrefix="0" xfId="0">
      <alignment horizontal="right" vertical="center"/>
    </xf>
    <xf numFmtId="164" fontId="12" fillId="5" borderId="11" applyAlignment="1" pivotButton="0" quotePrefix="0" xfId="0">
      <alignment horizontal="right" vertical="center"/>
    </xf>
    <xf numFmtId="168" fontId="12" fillId="5" borderId="11" applyAlignment="1" pivotButton="0" quotePrefix="0" xfId="0">
      <alignment horizontal="right" vertical="center"/>
    </xf>
    <xf numFmtId="1" fontId="12" fillId="10" borderId="11" applyAlignment="1" pivotButton="0" quotePrefix="0" xfId="0">
      <alignment horizontal="right" vertical="center"/>
    </xf>
    <xf numFmtId="164" fontId="12" fillId="10" borderId="11" applyAlignment="1" pivotButton="0" quotePrefix="0" xfId="0">
      <alignment horizontal="right" vertical="center"/>
    </xf>
    <xf numFmtId="168" fontId="12" fillId="10" borderId="11" applyAlignment="1" pivotButton="0" quotePrefix="0" xfId="0">
      <alignment horizontal="right" vertical="center"/>
    </xf>
    <xf numFmtId="0" fontId="13" fillId="9" borderId="1" applyAlignment="1" pivotButton="0" quotePrefix="0" xfId="0">
      <alignment horizontal="right" vertical="center"/>
    </xf>
    <xf numFmtId="0" fontId="12" fillId="5" borderId="11" applyAlignment="1" pivotButton="0" quotePrefix="0" xfId="0">
      <alignment horizontal="center" vertical="center"/>
    </xf>
    <xf numFmtId="0" fontId="12" fillId="10" borderId="11" applyAlignment="1" pivotButton="0" quotePrefix="0" xfId="0">
      <alignment horizontal="center" vertical="center"/>
    </xf>
    <xf numFmtId="0" fontId="5" fillId="9" borderId="1" applyAlignment="1" pivotButton="0" quotePrefix="0" xfId="0">
      <alignment horizontal="right" vertical="center"/>
    </xf>
    <xf numFmtId="0" fontId="14" fillId="10" borderId="1" applyAlignment="1" pivotButton="0" quotePrefix="0" xfId="0">
      <alignment horizontal="right" vertical="center"/>
    </xf>
    <xf numFmtId="0" fontId="7" fillId="12" borderId="11" applyAlignment="1" pivotButton="0" quotePrefix="0" xfId="0">
      <alignment horizontal="center" vertical="center"/>
    </xf>
    <xf numFmtId="3" fontId="15" fillId="5" borderId="11" applyAlignment="1" pivotButton="0" quotePrefix="0" xfId="0">
      <alignment horizontal="center" vertical="center"/>
    </xf>
    <xf numFmtId="0" fontId="15" fillId="5" borderId="11" applyAlignment="1" pivotButton="0" quotePrefix="0" xfId="0">
      <alignment horizontal="center" vertical="center"/>
    </xf>
    <xf numFmtId="166" fontId="15" fillId="5" borderId="11" applyAlignment="1" pivotButton="0" quotePrefix="0" xfId="0">
      <alignment horizontal="center" vertical="center"/>
    </xf>
    <xf numFmtId="165" fontId="15" fillId="5" borderId="11" applyAlignment="1" pivotButton="0" quotePrefix="0" xfId="0">
      <alignment horizontal="center" vertical="center"/>
    </xf>
    <xf numFmtId="167" fontId="15" fillId="5" borderId="11" applyAlignment="1" pivotButton="0" quotePrefix="0" xfId="0">
      <alignment horizontal="center" vertical="center"/>
    </xf>
    <xf numFmtId="0" fontId="7" fillId="13" borderId="11" applyAlignment="1" pivotButton="0" quotePrefix="0" xfId="0">
      <alignment horizontal="center" vertical="center"/>
    </xf>
    <xf numFmtId="0" fontId="9" fillId="13" borderId="1" applyAlignment="1" pivotButton="0" quotePrefix="0" xfId="0">
      <alignment horizontal="right" vertical="center"/>
    </xf>
    <xf numFmtId="0" fontId="16" fillId="14" borderId="1" applyAlignment="1" pivotButton="0" quotePrefix="0" xfId="0">
      <alignment horizontal="right" vertical="center" wrapText="1"/>
    </xf>
    <xf numFmtId="0" fontId="9" fillId="9" borderId="1" applyAlignment="1" pivotButton="0" quotePrefix="0" xfId="0">
      <alignment horizontal="right" vertical="center"/>
    </xf>
    <xf numFmtId="0" fontId="9" fillId="11" borderId="1" applyAlignment="1" pivotButton="0" quotePrefix="0" xfId="0">
      <alignment horizontal="right" vertical="center"/>
    </xf>
    <xf numFmtId="0" fontId="17" fillId="10" borderId="11" applyAlignment="1" pivotButton="0" quotePrefix="0" xfId="0">
      <alignment horizontal="center" vertical="center"/>
    </xf>
    <xf numFmtId="0" fontId="18" fillId="5" borderId="11" applyAlignment="1" pivotButton="0" quotePrefix="0" xfId="0">
      <alignment horizontal="center" vertical="center"/>
    </xf>
    <xf numFmtId="0" fontId="19" fillId="5" borderId="11" applyAlignment="1" pivotButton="0" quotePrefix="0" xfId="0">
      <alignment horizontal="right" vertical="center" wrapText="1"/>
    </xf>
    <xf numFmtId="0" fontId="20" fillId="5" borderId="11" applyAlignment="1" pivotButton="0" quotePrefix="0" xfId="0">
      <alignment horizontal="center" vertical="center"/>
    </xf>
  </cellXfs>
  <cellStyles count="1">
    <cellStyle name="Normal" xfId="0"/>
  </cellStyles>
  <dxfs count="10">
    <dxf>
      <font>
        <b val="1"/>
        <color rgb="FFB42318"/>
      </font>
      <fill>
        <patternFill patternType="solid">
          <bgColor rgb="FFFEE4E2"/>
        </patternFill>
      </fill>
    </dxf>
    <dxf>
      <font>
        <b val="1"/>
        <color rgb="FFD97706"/>
      </font>
      <fill>
        <patternFill patternType="solid">
          <bgColor rgb="FFFEF0C7"/>
        </patternFill>
      </fill>
    </dxf>
    <dxf>
      <font>
        <color rgb="FF7A5C00"/>
      </font>
      <fill>
        <patternFill patternType="solid">
          <bgColor rgb="FFFFF4CC"/>
        </patternFill>
      </fill>
    </dxf>
    <dxf>
      <font>
        <b val="1"/>
        <color rgb="FFB42318"/>
      </font>
      <fill>
        <patternFill patternType="solid">
          <bgColor rgb="FFFDECEC"/>
        </patternFill>
      </fill>
    </dxf>
    <dxf>
      <font>
        <b val="1"/>
        <color rgb="FFFFFFFF"/>
      </font>
      <fill>
        <patternFill patternType="solid">
          <bgColor rgb="FFF04438"/>
        </patternFill>
      </fill>
    </dxf>
    <dxf>
      <font>
        <b val="1"/>
        <color rgb="FFB42318"/>
      </font>
      <fill>
        <patternFill patternType="solid">
          <bgColor rgb="FFFEE4E2"/>
        </patternFill>
      </fill>
    </dxf>
    <dxf>
      <font>
        <b val="1"/>
        <color rgb="FF7A5C00"/>
      </font>
      <fill>
        <patternFill patternType="solid">
          <bgColor rgb="FFFEF0C7"/>
        </patternFill>
      </fill>
    </dxf>
    <dxf>
      <font>
        <b val="1"/>
        <color rgb="FFB42318"/>
      </font>
      <fill>
        <patternFill patternType="solid">
          <bgColor rgb="FFFEE4E2"/>
        </patternFill>
      </fill>
    </dxf>
    <dxf>
      <font>
        <b val="1"/>
        <color rgb="FF7A5C00"/>
      </font>
      <fill>
        <patternFill patternType="solid">
          <bgColor rgb="FFFEF0C7"/>
        </patternFill>
      </fill>
    </dxf>
    <dxf>
      <font>
        <b val="1"/>
        <color rgb="FF14804A"/>
      </font>
      <fill>
        <patternFill patternType="solid">
          <bgColor rgb="FFE4F2EB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r>
              <a:t>توزيع القوى العاملة حسب المنشأة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v>إجمالي الموظفين</v>
          </tx>
          <spPr>
            <a:ln>
              <a:prstDash val="solid"/>
            </a:ln>
          </spPr>
          <cat>
            <strRef>
              <f>'تحليل_المنشآت'!$A$4:$A$7</f>
              <strCache>
                <ptCount val="0"/>
              </strCache>
            </strRef>
          </cat>
          <val>
            <numRef>
              <f>'تحليل_المنشآت'!$B$4:$B$7</f>
              <numCache>
                <formatCode>General</formatCode>
                <ptCount val="0"/>
              </numCache>
            </numRef>
          </val>
        </ser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Between val="between"/>
      </valAx>
    </plotArea>
    <plotVisOnly val="1"/>
    <dispBlanksAs val="gap"/>
  </chart>
  <spPr>
    <a:ln w="9525">
      <a:solidFill>
        <a:srgbClr val="D9D9D9"/>
      </a:solidFill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r>
              <a:t>توزيع القوى العاملة حسب الفئة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v>إجمالي الموظفين</v>
          </tx>
          <spPr>
            <a:ln>
              <a:prstDash val="solid"/>
            </a:ln>
          </spPr>
          <cat>
            <strRef>
              <f>'تحليل_الفئات'!$A$4:$A$9</f>
              <strCache>
                <ptCount val="0"/>
              </strCache>
            </strRef>
          </cat>
          <val>
            <numRef>
              <f>'تحليل_الفئات'!$B$4:$B$9</f>
              <numCache>
                <formatCode>General</formatCode>
                <ptCount val="0"/>
              </numCache>
            </numRef>
          </val>
        </ser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Between val="between"/>
      </valAx>
    </plotArea>
    <plotVisOnly val="1"/>
    <dispBlanksAs val="gap"/>
  </chart>
  <spPr>
    <a:ln w="9525">
      <a:solidFill>
        <a:srgbClr val="D9D9D9"/>
      </a:solidFill>
      <a:prstDash val="solid"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r>
              <a:t>توزيع الموظفين حسب المنشآت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v>إجمالي الموظفين</v>
          </tx>
          <spPr>
            <a:ln>
              <a:prstDash val="solid"/>
            </a:ln>
          </spPr>
          <cat>
            <strRef>
              <f>'تحليل_المنشآت'!$A$4:$A$7</f>
              <strCache>
                <ptCount val="0"/>
              </strCache>
            </strRef>
          </cat>
          <val>
            <numRef>
              <f>'تحليل_المنشآت'!$B$4:$B$7</f>
              <numCache>
                <formatCode>General</formatCode>
                <ptCount val="0"/>
              </numCache>
            </numRef>
          </val>
        </ser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Between val="between"/>
      </valAx>
    </plotArea>
    <plotVisOnly val="1"/>
    <dispBlanksAs val="gap"/>
  </chart>
  <spPr>
    <a:ln w="9525">
      <a:solidFill>
        <a:srgbClr val="D9D9D9"/>
      </a:solidFill>
      <a:prstDash val="solid"/>
    </a:ln>
  </spPr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r>
              <a:t>توزيع الموظفين حسب الفئات الوظيفية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v>إجمالي الموظفين</v>
          </tx>
          <spPr>
            <a:ln>
              <a:prstDash val="solid"/>
            </a:ln>
          </spPr>
          <cat>
            <strRef>
              <f>'تحليل_الفئات'!$A$4:$A$9</f>
              <strCache>
                <ptCount val="0"/>
              </strCache>
            </strRef>
          </cat>
          <val>
            <numRef>
              <f>'تحليل_الفئات'!$B$4:$B$9</f>
              <numCache>
                <formatCode>General</formatCode>
                <ptCount val="0"/>
              </numCache>
            </numRef>
          </val>
        </ser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Between val="between"/>
      </valAx>
    </plotArea>
    <plotVisOnly val="1"/>
    <dispBlanksAs val="gap"/>
  </chart>
  <spPr>
    <a:ln w="9525">
      <a:solidFill>
        <a:srgbClr val="D9D9D9"/>
      </a:solidFill>
      <a:prstDash val="solid"/>
    </a:ln>
  </spPr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r>
              <a:t>توزيع الحالة الوظيفية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v>إجمالي الموظفين</v>
          </tx>
          <spPr>
            <a:ln>
              <a:prstDash val="solid"/>
            </a:ln>
          </spPr>
          <cat>
            <strRef>
              <f>'الحالة_والعقود'!$A$5:$A$9</f>
              <strCache>
                <ptCount val="0"/>
              </strCache>
            </strRef>
          </cat>
          <val>
            <numRef>
              <f>'الحالة_والعقود'!$B$5:$B$9</f>
              <numCache>
                <formatCode>General</formatCode>
                <ptCount val="0"/>
              </numCache>
            </numRef>
          </val>
        </ser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Between val="between"/>
      </valAx>
    </plotArea>
    <plotVisOnly val="1"/>
    <dispBlanksAs val="gap"/>
  </chart>
  <spPr>
    <a:ln w="9525">
      <a:solidFill>
        <a:srgbClr val="D9D9D9"/>
      </a:solidFill>
      <a:prstDash val="solid"/>
    </a:ln>
  </spPr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r>
              <a:t>توزيع نوع التعاقد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v>إجمالي الموظفين</v>
          </tx>
          <spPr>
            <a:ln>
              <a:prstDash val="solid"/>
            </a:ln>
          </spPr>
          <cat>
            <strRef>
              <f>'الحالة_والعقود'!$A$14:$A$17</f>
              <strCache>
                <ptCount val="0"/>
              </strCache>
            </strRef>
          </cat>
          <val>
            <numRef>
              <f>'الحالة_والعقود'!$B$14:$B$17</f>
              <numCache>
                <formatCode>General</formatCode>
                <ptCount val="0"/>
              </numCache>
            </numRef>
          </val>
        </ser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Between val="between"/>
      </valAx>
    </plotArea>
    <plotVisOnly val="1"/>
    <dispBlanksAs val="gap"/>
  </chart>
  <spPr>
    <a:ln w="9525">
      <a:solidFill>
        <a:srgbClr val="D9D9D9"/>
      </a:solidFill>
      <a:prstDash val="solid"/>
    </a:ln>
  </spPr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r>
              <a:t>حالة التصنيف المهني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v>العدد</v>
          </tx>
          <spPr>
            <a:ln>
              <a:prstDash val="solid"/>
            </a:ln>
          </spPr>
          <cat>
            <strRef>
              <f>'مخاطر_التصنيف'!$A$5:$A$9</f>
              <strCache>
                <ptCount val="0"/>
              </strCache>
            </strRef>
          </cat>
          <val>
            <numRef>
              <f>'مخاطر_التصنيف'!$B$5:$B$9</f>
              <numCache>
                <formatCode>General</formatCode>
                <ptCount val="0"/>
              </numCache>
            </numRef>
          </val>
        </ser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Between val="between"/>
      </valAx>
    </plotArea>
    <plotVisOnly val="1"/>
    <dispBlanksAs val="gap"/>
  </chart>
  <spPr>
    <a:ln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5.xml" Id="rId1" /><Relationship Type="http://schemas.openxmlformats.org/officeDocument/2006/relationships/chart" Target="/xl/charts/chart6.xml" Id="rId2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0</col>
      <colOff>0</colOff>
      <row>24</row>
      <rowOff>0</rowOff>
    </from>
    <to>
      <col>6</col>
      <colOff>0</colOff>
      <row>39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6</col>
      <colOff>0</colOff>
      <row>24</row>
      <rowOff>0</rowOff>
    </from>
    <to>
      <col>12</col>
      <colOff>0</colOff>
      <row>39</row>
      <rowOff>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10</col>
      <colOff>0</colOff>
      <row>2</row>
      <rowOff>0</rowOff>
    </from>
    <to>
      <col>18</col>
      <colOff>0</colOff>
      <row>18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10</col>
      <colOff>0</colOff>
      <row>2</row>
      <rowOff>0</rowOff>
    </from>
    <to>
      <col>18</col>
      <colOff>0</colOff>
      <row>18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10</col>
      <colOff>0</colOff>
      <row>2</row>
      <rowOff>0</rowOff>
    </from>
    <to>
      <col>18</col>
      <colOff>0</colOff>
      <row>14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10</col>
      <colOff>0</colOff>
      <row>15</row>
      <rowOff>0</rowOff>
    </from>
    <to>
      <col>18</col>
      <colOff>0</colOff>
      <row>27</row>
      <rowOff>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0</col>
      <colOff>0</colOff>
      <row>12</row>
      <rowOff>0</rowOff>
    </from>
    <to>
      <col>3</col>
      <colOff>0</colOff>
      <row>26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WorkforceCleanTable" displayName="WorkforceCleanTable" ref="A1:AE51" headerRowCount="1" totalsRowCount="0" totalsRowShown="0">
  <tableColumns count="31">
    <tableColumn id="1" name="الرقم_الوظيفي"/>
    <tableColumn id="2" name="اسم_الموظف"/>
    <tableColumn id="3" name="الجنس"/>
    <tableColumn id="4" name="الجنسية"/>
    <tableColumn id="5" name="تاريخ_الميلاد"/>
    <tableColumn id="6" name="العمر"/>
    <tableColumn id="7" name="تاريخ_التعيين"/>
    <tableColumn id="8" name="سنوات_الخدمة"/>
    <tableColumn id="9" name="المنشأة"/>
    <tableColumn id="10" name="نوع_المنشأة"/>
    <tableColumn id="11" name="الإدارة_التنفيذية"/>
    <tableColumn id="12" name="الفئة_الوظيفية"/>
    <tableColumn id="13" name="المسمى_الوظيفي"/>
    <tableColumn id="14" name="التصنيف"/>
    <tableColumn id="15" name="نوع_التعاقد"/>
    <tableColumn id="16" name="الحالة_الوظيفية"/>
    <tableColumn id="17" name="الراتب_الأساسي"/>
    <tableColumn id="18" name="تقييم_الأداء_2025"/>
    <tableColumn id="19" name="تقييم_الأداء_المصدر"/>
    <tableColumn id="20" name="تقييم_صالح"/>
    <tableColumn id="21" name="المؤهل_العلمي"/>
    <tableColumn id="22" name="مسجل_في_التصنيف_المهني"/>
    <tableColumn id="23" name="تاريخ_انتهاء_التصنيف"/>
    <tableColumn id="24" name="حالة_التصنيف"/>
    <tableColumn id="25" name="الأيام_حتى_انتهاء_التصنيف"/>
    <tableColumn id="26" name="جهة_العمل_الفعلية"/>
    <tableColumn id="27" name="تعارض_الدور"/>
    <tableColumn id="28" name="ملخص_مشكلات_الجودة"/>
    <tableColumn id="29" name="عدد_مشكلات_الجودة"/>
    <tableColumn id="30" name="عدد_سجلات_المصدر"/>
    <tableColumn id="31" name="صف_المصدر_المعتمد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WorkforceRawTable" displayName="WorkforceRawTable" ref="A1:T54" headerRowCount="1" totalsRowCount="0" totalsRowShown="0">
  <tableColumns count="20">
    <tableColumn id="1" name="الرقم_الوظيفي"/>
    <tableColumn id="2" name="اسم_الموظف"/>
    <tableColumn id="3" name="الجنس"/>
    <tableColumn id="4" name="الجنسية"/>
    <tableColumn id="5" name="تاريخ_الميلاد"/>
    <tableColumn id="6" name="تاريخ_التعيين"/>
    <tableColumn id="7" name="المنشأة"/>
    <tableColumn id="8" name="نوع_المنشأة"/>
    <tableColumn id="9" name="الإدارة_التنفيذية"/>
    <tableColumn id="10" name="الفئة_الوظيفية"/>
    <tableColumn id="11" name="المسمى_الوظيفي"/>
    <tableColumn id="12" name="التصنيف"/>
    <tableColumn id="13" name="نوع_التعاقد"/>
    <tableColumn id="14" name="الحالة_الوظيفية"/>
    <tableColumn id="15" name="الراتب_الأساسي"/>
    <tableColumn id="16" name="تقييم_الأداء_2025"/>
    <tableColumn id="17" name="المؤهل_العلمي"/>
    <tableColumn id="18" name="مسجل_في_التصنيف_المهني"/>
    <tableColumn id="19" name="تاريخ_انتهاء_التصنيف"/>
    <tableColumn id="20" name="جهة العمل الفعلية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QualityIssuesTable" displayName="QualityIssuesTable" ref="A1:G43" headerRowCount="1" totalsRowCount="0" totalsRowShown="0">
  <tableColumns count="7">
    <tableColumn id="1" name="الرقم_الوظيفي"/>
    <tableColumn id="2" name="اسم_الموظف"/>
    <tableColumn id="3" name="المحور"/>
    <tableColumn id="4" name="الأولوية"/>
    <tableColumn id="5" name="نوع_الملاحظة"/>
    <tableColumn id="6" name="التفاصيل"/>
    <tableColumn id="7" name="الإجراء_المقترح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FacilityAnalysis" displayName="FacilityAnalysis" ref="A3:I7" headerRowCount="1" totalsRowCount="0" totalsRowShown="0">
  <tableColumns count="9">
    <tableColumn id="1" name="البعد"/>
    <tableColumn id="2" name="إجمالي الموظفين"/>
    <tableColumn id="3" name="على رأس العمل"/>
    <tableColumn id="4" name="نسبة على رأس العمل"/>
    <tableColumn id="5" name="سعودي"/>
    <tableColumn id="6" name="نسبة السعودة"/>
    <tableColumn id="7" name="متوسط الأداء الصحيح"/>
    <tableColumn id="8" name="رواتب على رأس العمل"/>
    <tableColumn id="9" name="تصنيف منتهي - على رأس العمل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CategoryAnalysis" displayName="CategoryAnalysis" ref="A3:I9" headerRowCount="1" totalsRowCount="0" totalsRowShown="0">
  <tableColumns count="9">
    <tableColumn id="1" name="البعد"/>
    <tableColumn id="2" name="إجمالي الموظفين"/>
    <tableColumn id="3" name="على رأس العمل"/>
    <tableColumn id="4" name="نسبة على رأس العمل"/>
    <tableColumn id="5" name="سعودي"/>
    <tableColumn id="6" name="نسبة السعودة"/>
    <tableColumn id="7" name="متوسط الأداء الصحيح"/>
    <tableColumn id="8" name="رواتب على رأس العمل"/>
    <tableColumn id="9" name="تصنيف منتهي - على رأس العمل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StatusAnalysis" displayName="StatusAnalysis" ref="A4:I9" headerRowCount="1" totalsRowCount="0" totalsRowShown="0">
  <tableColumns count="9">
    <tableColumn id="1" name="البعد"/>
    <tableColumn id="2" name="إجمالي الموظفين"/>
    <tableColumn id="3" name="على رأس العمل"/>
    <tableColumn id="4" name="نسبة على رأس العمل"/>
    <tableColumn id="5" name="سعودي"/>
    <tableColumn id="6" name="نسبة السعودة"/>
    <tableColumn id="7" name="متوسط الأداء الصحيح"/>
    <tableColumn id="8" name="رواتب على رأس العمل"/>
    <tableColumn id="9" name="تصنيف منتهي - على رأس العمل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ContractAnalysis" displayName="ContractAnalysis" ref="A13:I17" headerRowCount="1" totalsRowCount="0" totalsRowShown="0">
  <tableColumns count="9">
    <tableColumn id="1" name="البعد"/>
    <tableColumn id="2" name="إجمالي الموظفين"/>
    <tableColumn id="3" name="على رأس العمل"/>
    <tableColumn id="4" name="نسبة على رأس العمل"/>
    <tableColumn id="5" name="سعودي"/>
    <tableColumn id="6" name="نسبة السعودة"/>
    <tableColumn id="7" name="متوسط الأداء الصحيح"/>
    <tableColumn id="8" name="رواتب على رأس العمل"/>
    <tableColumn id="9" name="تصنيف منتهي - على رأس العمل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ClassificationRisks" displayName="ClassificationRisks" ref="D4:K18" headerRowCount="1" totalsRowCount="0" totalsRowShown="0">
  <tableColumns count="8">
    <tableColumn id="1" name="الرقم_الوظيفي"/>
    <tableColumn id="2" name="اسم_الموظف"/>
    <tableColumn id="3" name="المنشأة"/>
    <tableColumn id="4" name="الفئة_الوظيفية"/>
    <tableColumn id="5" name="الحالة_الوظيفية"/>
    <tableColumn id="6" name="تاريخ_الانتهاء"/>
    <tableColumn id="7" name="حالة_التصنيف"/>
    <tableColumn id="8" name="الأيام_المتبقية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RecommendationsTable" displayName="RecommendationsTable" ref="A4:E12" headerRowCount="1" totalsRowCount="0" totalsRowShown="0">
  <tableColumns count="5">
    <tableColumn id="1" name="#"/>
    <tableColumn id="2" name="الأولوية"/>
    <tableColumn id="3" name="المحور"/>
    <tableColumn id="4" name="الإجراء المقترح"/>
    <tableColumn id="5" name="الأثر المتوقع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KPIDictionary" displayName="KPIDictionary" ref="A4:D16" headerRowCount="1" totalsRowCount="0" totalsRowShown="0">
  <tableColumns count="4">
    <tableColumn id="1" name="المؤشر"/>
    <tableColumn id="2" name="التعريف"/>
    <tableColumn id="3" name="الوحدة"/>
    <tableColumn id="4" name="ملاحظة منهجية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Relationship Type="http://schemas.openxmlformats.org/officeDocument/2006/relationships/table" Target="/xl/tables/table4.xml" Id="rId2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 /><Relationship Type="http://schemas.openxmlformats.org/officeDocument/2006/relationships/table" Target="/xl/tables/table5.xml" Id="rId2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 /><Relationship Type="http://schemas.openxmlformats.org/officeDocument/2006/relationships/table" Target="/xl/tables/table6.xml" Id="rId2" /><Relationship Type="http://schemas.openxmlformats.org/officeDocument/2006/relationships/table" Target="/xl/tables/table7.xml" Id="rId3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5.xml" Id="rId1" /><Relationship Type="http://schemas.openxmlformats.org/officeDocument/2006/relationships/table" Target="/xl/tables/table8.xml" Id="rId2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5" customWidth="1" min="2" max="2"/>
    <col width="5" customWidth="1" min="3" max="3"/>
    <col width="15" customWidth="1" min="4" max="4"/>
    <col width="5" customWidth="1" min="5" max="5"/>
    <col width="15" customWidth="1" min="6" max="6"/>
    <col width="5" customWidth="1" min="7" max="7"/>
    <col width="12" customWidth="1" min="8" max="8"/>
    <col width="16" customWidth="1" min="9" max="9"/>
    <col width="15" customWidth="1" min="10" max="10"/>
    <col width="5" customWidth="1" min="11" max="11"/>
    <col width="15" customWidth="1" min="12" max="12"/>
  </cols>
  <sheetData>
    <row r="1" ht="28" customHeight="1">
      <c r="A1" s="197" t="inlineStr">
        <is>
          <t>لوحة تخطيط القوى العاملة - الملخص التنفيذي</t>
        </is>
      </c>
      <c r="B1" s="197" t="n"/>
      <c r="C1" s="197" t="n"/>
      <c r="D1" s="197" t="n"/>
      <c r="E1" s="197" t="n"/>
      <c r="F1" s="197" t="n"/>
      <c r="G1" s="197" t="n"/>
      <c r="H1" s="197" t="n"/>
      <c r="I1" s="197" t="n"/>
      <c r="J1" s="197" t="n"/>
      <c r="K1" s="197" t="n"/>
      <c r="L1" s="197" t="n"/>
    </row>
    <row r="2" ht="28" customHeight="1">
      <c r="A2" s="197" t="n"/>
      <c r="B2" s="197" t="n"/>
      <c r="C2" s="197" t="n"/>
      <c r="D2" s="197" t="n"/>
      <c r="E2" s="197" t="n"/>
      <c r="F2" s="197" t="n"/>
      <c r="G2" s="197" t="n"/>
      <c r="H2" s="197" t="n"/>
      <c r="I2" s="197" t="n"/>
      <c r="J2" s="197" t="n"/>
      <c r="K2" s="197" t="n"/>
      <c r="L2" s="197" t="n"/>
    </row>
    <row r="3" ht="18" customHeight="1">
      <c r="A3" s="198" t="inlineStr">
        <is>
          <t>تحليل بيانات الموارد البشرية | تاريخ التحليل: 2026-08-19 | المصدر: ملف المرشح المرفق</t>
        </is>
      </c>
      <c r="B3" s="198" t="n"/>
      <c r="C3" s="198" t="n"/>
      <c r="D3" s="198" t="n"/>
      <c r="E3" s="198" t="n"/>
      <c r="F3" s="198" t="n"/>
      <c r="G3" s="198" t="n"/>
      <c r="H3" s="198" t="n"/>
      <c r="I3" s="198" t="n"/>
      <c r="J3" s="198" t="n"/>
      <c r="K3" s="198" t="n"/>
      <c r="L3" s="198" t="n"/>
    </row>
    <row r="5" ht="24" customHeight="1">
      <c r="A5" s="199" t="inlineStr">
        <is>
          <t>إجمالي الموظفين</t>
        </is>
      </c>
      <c r="B5" s="199" t="n"/>
      <c r="C5" s="199" t="inlineStr">
        <is>
          <t>على رأس العمل</t>
        </is>
      </c>
      <c r="D5" s="199" t="n"/>
      <c r="E5" s="199" t="inlineStr">
        <is>
          <t>نسبة السعودة الوصفية</t>
        </is>
      </c>
      <c r="F5" s="199" t="n"/>
      <c r="G5" s="199" t="inlineStr">
        <is>
          <t>متوسط الأداء الصحيح</t>
        </is>
      </c>
      <c r="H5" s="199" t="n"/>
      <c r="I5" s="199" t="inlineStr">
        <is>
          <t>رواتب الحالات على رأس العمل</t>
        </is>
      </c>
      <c r="J5" s="199" t="n"/>
      <c r="K5" s="199" t="inlineStr">
        <is>
          <t>تصنيف منتهي - على رأس العمل</t>
        </is>
      </c>
      <c r="L5" s="199" t="n"/>
    </row>
    <row r="6" ht="24" customHeight="1">
      <c r="A6" s="200">
        <f>COUNTA('البيانات_المنظفة'!A2:A51)</f>
        <v/>
      </c>
      <c r="B6" s="201" t="n"/>
      <c r="C6" s="200">
        <f>COUNTIF('البيانات_المنظفة'!P2:P51,"على رأس العمل")</f>
        <v/>
      </c>
      <c r="D6" s="201" t="n"/>
      <c r="E6" s="202">
        <f>COUNTIF('البيانات_المنظفة'!D2:D51,"سعودي")/COUNTA('البيانات_المنظفة'!A2:A51)</f>
        <v/>
      </c>
      <c r="F6" s="201" t="n"/>
      <c r="G6" s="203">
        <f>AVERAGE('البيانات_المنظفة'!R2:R51)</f>
        <v/>
      </c>
      <c r="H6" s="201" t="n"/>
      <c r="I6" s="204">
        <f>SUMIF('البيانات_المنظفة'!P2:P51,"على رأس العمل",'البيانات_المنظفة'!Q2:Q51)</f>
        <v/>
      </c>
      <c r="J6" s="201" t="n"/>
      <c r="K6" s="200">
        <f>COUNTIFS('البيانات_المنظفة'!P2:P51,"على رأس العمل",'البيانات_المنظفة'!X2:X51,"منتهي")</f>
        <v/>
      </c>
      <c r="L6" s="201" t="n"/>
    </row>
    <row r="7" ht="24" customHeight="1">
      <c r="A7" s="201" t="n"/>
      <c r="B7" s="201" t="n"/>
      <c r="C7" s="201" t="n"/>
      <c r="D7" s="201" t="n"/>
      <c r="E7" s="201" t="n"/>
      <c r="F7" s="201" t="n"/>
      <c r="G7" s="201" t="n"/>
      <c r="H7" s="201" t="n"/>
      <c r="I7" s="201" t="n"/>
      <c r="J7" s="201" t="n"/>
      <c r="K7" s="201" t="n"/>
      <c r="L7" s="201" t="n"/>
    </row>
    <row r="9" ht="24" customHeight="1">
      <c r="A9" s="205" t="inlineStr">
        <is>
          <t>حالة وظيفية مفقودة</t>
        </is>
      </c>
      <c r="B9" s="205" t="n"/>
      <c r="C9" s="205" t="inlineStr">
        <is>
          <t>تعارض وظيفي محتمل</t>
        </is>
      </c>
      <c r="D9" s="205" t="n"/>
      <c r="E9" s="205" t="inlineStr">
        <is>
          <t>تصنيف ينتهي خلال 90 يوم</t>
        </is>
      </c>
      <c r="F9" s="205" t="n"/>
      <c r="G9" s="205" t="inlineStr">
        <is>
          <t>رواتب أساسية صفرية</t>
        </is>
      </c>
      <c r="H9" s="205" t="n"/>
      <c r="I9" s="205" t="inlineStr">
        <is>
          <t>سجلات مصدر مكررة</t>
        </is>
      </c>
      <c r="J9" s="205" t="n"/>
      <c r="K9" s="205" t="inlineStr">
        <is>
          <t>تصنيفات منتهية - جميع الحالات</t>
        </is>
      </c>
      <c r="L9" s="205" t="n"/>
    </row>
    <row r="10" ht="24" customHeight="1">
      <c r="A10" s="200">
        <f>COUNTIF('البيانات_المنظفة'!P2:P51,"غير محدد")</f>
        <v/>
      </c>
      <c r="B10" s="201" t="n"/>
      <c r="C10" s="200">
        <f>COUNTIF('البيانات_المنظفة'!AA2:AA51,"يحتاج مراجعة")</f>
        <v/>
      </c>
      <c r="D10" s="201" t="n"/>
      <c r="E10" s="200">
        <f>COUNTIF('البيانات_المنظفة'!X2:X51,"ينتهي خلال 90 يوم")</f>
        <v/>
      </c>
      <c r="F10" s="201" t="n"/>
      <c r="G10" s="200">
        <f>COUNTIF('البيانات_المنظفة'!Q2:Q51,0)</f>
        <v/>
      </c>
      <c r="H10" s="201" t="n"/>
      <c r="I10" s="200">
        <f>COUNTIF('البيانات_المنظفة'!AD2:AD51,"&gt;1")</f>
        <v/>
      </c>
      <c r="J10" s="201" t="n"/>
      <c r="K10" s="200">
        <f>COUNTIF('البيانات_المنظفة'!X2:X51,"منتهي")</f>
        <v/>
      </c>
      <c r="L10" s="201" t="n"/>
    </row>
    <row r="11" ht="24" customHeight="1">
      <c r="A11" s="201" t="n"/>
      <c r="B11" s="201" t="n"/>
      <c r="C11" s="201" t="n"/>
      <c r="D11" s="201" t="n"/>
      <c r="E11" s="201" t="n"/>
      <c r="F11" s="201" t="n"/>
      <c r="G11" s="201" t="n"/>
      <c r="H11" s="201" t="n"/>
      <c r="I11" s="201" t="n"/>
      <c r="J11" s="201" t="n"/>
      <c r="K11" s="201" t="n"/>
      <c r="L11" s="201" t="n"/>
    </row>
    <row r="13" ht="24" customHeight="1">
      <c r="A13" s="206" t="inlineStr">
        <is>
          <t>قرار تحليلي مهم</t>
        </is>
      </c>
      <c r="B13" s="206" t="n"/>
      <c r="C13" s="206" t="n"/>
      <c r="D13" s="206" t="n"/>
      <c r="E13" s="206" t="n"/>
      <c r="F13" s="206" t="n"/>
      <c r="G13" s="206" t="n"/>
      <c r="H13" s="206" t="n"/>
      <c r="I13" s="206" t="n"/>
      <c r="J13" s="206" t="n"/>
      <c r="K13" s="206" t="n"/>
      <c r="L13" s="206" t="n"/>
    </row>
    <row r="14" ht="46" customHeight="1">
      <c r="A14" s="207" t="inlineStr">
        <is>
          <t>لا يمكن حساب العجز أو الفائض أو نسبة التغطية بصورة مهنية من الملف الحالي؛ لأنه لا يتضمن الملاك المعتمد / Target FTE أو حجم الطلب وعبء العمل. لذلك تم فصل المؤشرات المؤكدة عن المؤشرات التي تتطلب بيانات إضافية، دون اختلاق افتراضات.</t>
        </is>
      </c>
      <c r="B14" s="207" t="n"/>
      <c r="C14" s="207" t="n"/>
      <c r="D14" s="207" t="n"/>
      <c r="E14" s="207" t="n"/>
      <c r="F14" s="207" t="n"/>
      <c r="G14" s="207" t="n"/>
      <c r="H14" s="207" t="n"/>
      <c r="I14" s="207" t="n"/>
      <c r="J14" s="207" t="n"/>
      <c r="K14" s="207" t="n"/>
      <c r="L14" s="207" t="n"/>
    </row>
    <row r="15" ht="34" customHeight="1">
      <c r="A15" s="207" t="n"/>
      <c r="B15" s="207" t="n"/>
      <c r="C15" s="207" t="n"/>
      <c r="D15" s="207" t="n"/>
      <c r="E15" s="207" t="n"/>
      <c r="F15" s="207" t="n"/>
      <c r="G15" s="207" t="n"/>
      <c r="H15" s="207" t="n"/>
      <c r="I15" s="207" t="n"/>
      <c r="J15" s="207" t="n"/>
      <c r="K15" s="207" t="n"/>
      <c r="L15" s="207" t="n"/>
    </row>
    <row r="17" ht="24" customHeight="1">
      <c r="A17" s="208" t="inlineStr">
        <is>
          <t>أبرز النتائج التنفيذية</t>
        </is>
      </c>
      <c r="B17" s="208" t="n"/>
      <c r="C17" s="208" t="n"/>
      <c r="D17" s="208" t="n"/>
      <c r="E17" s="208" t="n"/>
      <c r="F17" s="208" t="n"/>
      <c r="G17" s="209" t="inlineStr">
        <is>
          <t>أولويات القرار</t>
        </is>
      </c>
      <c r="H17" s="209" t="n"/>
      <c r="I17" s="209" t="n"/>
      <c r="J17" s="209" t="n"/>
      <c r="K17" s="209" t="n"/>
      <c r="L17" s="209" t="n"/>
    </row>
    <row r="18" ht="34" customHeight="1">
      <c r="A18" s="210" t="inlineStr">
        <is>
          <t>1</t>
        </is>
      </c>
      <c r="B18" s="166" t="inlineStr">
        <is>
          <t>المصدر يحتوي 53 صفًا مقابل 50 موظفًا فريدًا؛ 3 أرقام وظيفية مكررة.</t>
        </is>
      </c>
      <c r="C18" s="166" t="n"/>
      <c r="D18" s="166" t="n"/>
      <c r="E18" s="166" t="n"/>
      <c r="F18" s="166" t="n"/>
      <c r="G18" s="210" t="inlineStr">
        <is>
          <t>1</t>
        </is>
      </c>
      <c r="H18" s="211" t="inlineStr">
        <is>
          <t>عاجل</t>
        </is>
      </c>
      <c r="I18" s="212" t="inlineStr">
        <is>
          <t>التصنيفات المهنية</t>
        </is>
      </c>
      <c r="J18" s="166" t="inlineStr">
        <is>
          <t>إغلاق 10 حالات منتهية على رأس العمل وبدء تجديد الحالة القريبة.</t>
        </is>
      </c>
      <c r="K18" s="166" t="n"/>
      <c r="L18" s="166" t="n"/>
    </row>
    <row r="19" ht="34" customHeight="1">
      <c r="A19" s="210" t="inlineStr">
        <is>
          <t>2</t>
        </is>
      </c>
      <c r="B19" s="166" t="inlineStr">
        <is>
          <t>36 موظفًا فقط مسجلون صراحةً على رأس العمل، بينما 8 حالات وظيفية غير مكتملة.</t>
        </is>
      </c>
      <c r="C19" s="166" t="n"/>
      <c r="D19" s="166" t="n"/>
      <c r="E19" s="166" t="n"/>
      <c r="F19" s="166" t="n"/>
      <c r="G19" s="210" t="inlineStr">
        <is>
          <t>2</t>
        </is>
      </c>
      <c r="H19" s="211" t="inlineStr">
        <is>
          <t>عاجل</t>
        </is>
      </c>
      <c r="I19" s="212" t="inlineStr">
        <is>
          <t>الحالة الوظيفية</t>
        </is>
      </c>
      <c r="J19" s="166" t="inlineStr">
        <is>
          <t>استكمال 8 حالات مفقودة قبل احتساب التوفر.</t>
        </is>
      </c>
      <c r="K19" s="166" t="n"/>
      <c r="L19" s="166" t="n"/>
    </row>
    <row r="20" ht="34" customHeight="1">
      <c r="A20" s="210" t="inlineStr">
        <is>
          <t>3</t>
        </is>
      </c>
      <c r="B20" s="166" t="inlineStr">
        <is>
          <t>13 تصنيفًا مهنيًا منتهيًا، منها 10 لموظفين على رأس العمل، وحالة واحدة تنتهي خلال 90 يومًا.</t>
        </is>
      </c>
      <c r="C20" s="166" t="n"/>
      <c r="D20" s="166" t="n"/>
      <c r="E20" s="166" t="n"/>
      <c r="F20" s="166" t="n"/>
      <c r="G20" s="210" t="inlineStr">
        <is>
          <t>3</t>
        </is>
      </c>
      <c r="H20" s="211" t="inlineStr">
        <is>
          <t>عاجل</t>
        </is>
      </c>
      <c r="I20" s="212" t="inlineStr">
        <is>
          <t>المواءمة الوظيفية</t>
        </is>
      </c>
      <c r="J20" s="166" t="inlineStr">
        <is>
          <t>مراجعة 8 تعارضات بين المسمى والعمل الفعلي.</t>
        </is>
      </c>
      <c r="K20" s="166" t="n"/>
      <c r="L20" s="166" t="n"/>
    </row>
    <row r="21" ht="34" customHeight="1">
      <c r="A21" s="210" t="inlineStr">
        <is>
          <t>4</t>
        </is>
      </c>
      <c r="B21" s="166" t="inlineStr">
        <is>
          <t>توجد 8 حالات تعارض واضحة تستوجب المراجعة بين المسمى/الفئة وجهة العمل الفعلية.</t>
        </is>
      </c>
      <c r="C21" s="166" t="n"/>
      <c r="D21" s="166" t="n"/>
      <c r="E21" s="166" t="n"/>
      <c r="F21" s="166" t="n"/>
      <c r="G21" s="210" t="inlineStr">
        <is>
          <t>4</t>
        </is>
      </c>
      <c r="H21" s="213" t="inlineStr">
        <is>
          <t>تطويري</t>
        </is>
      </c>
      <c r="I21" s="212" t="inlineStr">
        <is>
          <t>بيانات التخطيط</t>
        </is>
      </c>
      <c r="J21" s="166" t="inlineStr">
        <is>
          <t>إضافة Target FTE وعبء العمل والشواغر لحساب العجز والفائض.</t>
        </is>
      </c>
      <c r="K21" s="166" t="n"/>
      <c r="L21" s="166" t="n"/>
    </row>
    <row r="22" ht="34" customHeight="1">
      <c r="A22" s="210" t="inlineStr">
        <is>
          <t>5</t>
        </is>
      </c>
      <c r="B22" s="166" t="inlineStr">
        <is>
          <t>قيمة تقييم أداء واحدة غير صالحة في السجل المعتمد، وراتبان أساسيان بقيمة صفر.</t>
        </is>
      </c>
      <c r="C22" s="166" t="n"/>
      <c r="D22" s="166" t="n"/>
      <c r="E22" s="166" t="n"/>
      <c r="F22" s="166" t="n"/>
    </row>
    <row r="23" ht="34" customHeight="1">
      <c r="A23" s="210" t="inlineStr">
        <is>
          <t>6</t>
        </is>
      </c>
      <c r="B23" s="166" t="inlineStr">
        <is>
          <t>متوسط الأداء بعد استبعاد القيم غير الصالحة = 85.2/100، ونسبة السعودة الوصفية = 58.0%.</t>
        </is>
      </c>
      <c r="C23" s="166" t="n"/>
      <c r="D23" s="166" t="n"/>
      <c r="E23" s="166" t="n"/>
      <c r="F23" s="166" t="n"/>
    </row>
  </sheetData>
  <mergeCells count="40">
    <mergeCell ref="E6:F7"/>
    <mergeCell ref="G6:H7"/>
    <mergeCell ref="C5:D5"/>
    <mergeCell ref="K9:L9"/>
    <mergeCell ref="E5:F5"/>
    <mergeCell ref="K5:L5"/>
    <mergeCell ref="B22:F22"/>
    <mergeCell ref="J20:L20"/>
    <mergeCell ref="A3:L3"/>
    <mergeCell ref="B18:F18"/>
    <mergeCell ref="B21:F21"/>
    <mergeCell ref="I10:J11"/>
    <mergeCell ref="A1:L2"/>
    <mergeCell ref="A10:B11"/>
    <mergeCell ref="K10:L11"/>
    <mergeCell ref="A17:F17"/>
    <mergeCell ref="B23:F23"/>
    <mergeCell ref="C9:D9"/>
    <mergeCell ref="E9:F9"/>
    <mergeCell ref="J21:L21"/>
    <mergeCell ref="C6:D7"/>
    <mergeCell ref="I6:J7"/>
    <mergeCell ref="J18:L18"/>
    <mergeCell ref="K6:L7"/>
    <mergeCell ref="A5:B5"/>
    <mergeCell ref="G5:H5"/>
    <mergeCell ref="A13:L13"/>
    <mergeCell ref="B19:F19"/>
    <mergeCell ref="I5:J5"/>
    <mergeCell ref="C10:D11"/>
    <mergeCell ref="B20:F20"/>
    <mergeCell ref="J19:L19"/>
    <mergeCell ref="E10:F11"/>
    <mergeCell ref="G10:H11"/>
    <mergeCell ref="A6:B7"/>
    <mergeCell ref="G17:L17"/>
    <mergeCell ref="A14:L15"/>
    <mergeCell ref="A9:B9"/>
    <mergeCell ref="G9:H9"/>
    <mergeCell ref="I9:J9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5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9" customWidth="1" min="3" max="3"/>
    <col width="9" customWidth="1" min="4" max="4"/>
    <col width="21" customWidth="1" min="5" max="5"/>
    <col width="9" customWidth="1" min="6" max="6"/>
    <col width="21" customWidth="1" min="7" max="7"/>
    <col width="14" customWidth="1" min="8" max="8"/>
    <col width="32" customWidth="1" min="9" max="9"/>
    <col width="18" customWidth="1" min="10" max="10"/>
    <col width="42" customWidth="1" min="11" max="11"/>
    <col width="18" customWidth="1" min="12" max="12"/>
    <col width="26" customWidth="1" min="13" max="13"/>
    <col width="14" customWidth="1" min="14" max="14"/>
    <col width="20" customWidth="1" min="15" max="15"/>
    <col width="22" customWidth="1" min="16" max="16"/>
    <col width="16" customWidth="1" min="17" max="17"/>
    <col width="19" customWidth="1" min="18" max="18"/>
    <col width="21" customWidth="1" min="19" max="19"/>
    <col width="12" customWidth="1" min="20" max="20"/>
    <col width="15" customWidth="1" min="21" max="21"/>
    <col width="24" customWidth="1" min="22" max="22"/>
    <col width="22" customWidth="1" min="23" max="23"/>
    <col width="22" customWidth="1" min="24" max="24"/>
    <col width="27" customWidth="1" min="25" max="25"/>
    <col width="33" customWidth="1" min="26" max="26"/>
    <col width="21" customWidth="1" min="27" max="27"/>
    <col width="41" customWidth="1" min="28" max="28"/>
    <col width="19" customWidth="1" min="29" max="29"/>
    <col width="18" customWidth="1" min="30" max="30"/>
    <col width="19" customWidth="1" min="31" max="31"/>
  </cols>
  <sheetData>
    <row r="1" ht="34" customHeight="1">
      <c r="A1" s="178" t="inlineStr">
        <is>
          <t>الرقم_الوظيفي</t>
        </is>
      </c>
      <c r="B1" s="178" t="inlineStr">
        <is>
          <t>اسم_الموظف</t>
        </is>
      </c>
      <c r="C1" s="178" t="inlineStr">
        <is>
          <t>الجنس</t>
        </is>
      </c>
      <c r="D1" s="178" t="inlineStr">
        <is>
          <t>الجنسية</t>
        </is>
      </c>
      <c r="E1" s="178" t="inlineStr">
        <is>
          <t>تاريخ_الميلاد</t>
        </is>
      </c>
      <c r="F1" s="178" t="inlineStr">
        <is>
          <t>العمر</t>
        </is>
      </c>
      <c r="G1" s="178" t="inlineStr">
        <is>
          <t>تاريخ_التعيين</t>
        </is>
      </c>
      <c r="H1" s="178" t="inlineStr">
        <is>
          <t>سنوات_الخدمة</t>
        </is>
      </c>
      <c r="I1" s="178" t="inlineStr">
        <is>
          <t>المنشأة</t>
        </is>
      </c>
      <c r="J1" s="178" t="inlineStr">
        <is>
          <t>نوع_المنشأة</t>
        </is>
      </c>
      <c r="K1" s="178" t="inlineStr">
        <is>
          <t>الإدارة_التنفيذية</t>
        </is>
      </c>
      <c r="L1" s="178" t="inlineStr">
        <is>
          <t>الفئة_الوظيفية</t>
        </is>
      </c>
      <c r="M1" s="178" t="inlineStr">
        <is>
          <t>المسمى_الوظيفي</t>
        </is>
      </c>
      <c r="N1" s="178" t="inlineStr">
        <is>
          <t>التصنيف</t>
        </is>
      </c>
      <c r="O1" s="178" t="inlineStr">
        <is>
          <t>نوع_التعاقد</t>
        </is>
      </c>
      <c r="P1" s="178" t="inlineStr">
        <is>
          <t>الحالة_الوظيفية</t>
        </is>
      </c>
      <c r="Q1" s="178" t="inlineStr">
        <is>
          <t>الراتب_الأساسي</t>
        </is>
      </c>
      <c r="R1" s="178" t="inlineStr">
        <is>
          <t>تقييم_الأداء_2025</t>
        </is>
      </c>
      <c r="S1" s="178" t="inlineStr">
        <is>
          <t>تقييم_الأداء_المصدر</t>
        </is>
      </c>
      <c r="T1" s="178" t="inlineStr">
        <is>
          <t>تقييم_صالح</t>
        </is>
      </c>
      <c r="U1" s="178" t="inlineStr">
        <is>
          <t>المؤهل_العلمي</t>
        </is>
      </c>
      <c r="V1" s="178" t="inlineStr">
        <is>
          <t>مسجل_في_التصنيف_المهني</t>
        </is>
      </c>
      <c r="W1" s="178" t="inlineStr">
        <is>
          <t>تاريخ_انتهاء_التصنيف</t>
        </is>
      </c>
      <c r="X1" s="178" t="inlineStr">
        <is>
          <t>حالة_التصنيف</t>
        </is>
      </c>
      <c r="Y1" s="178" t="inlineStr">
        <is>
          <t>الأيام_حتى_انتهاء_التصنيف</t>
        </is>
      </c>
      <c r="Z1" s="178" t="inlineStr">
        <is>
          <t>جهة_العمل_الفعلية</t>
        </is>
      </c>
      <c r="AA1" s="178" t="inlineStr">
        <is>
          <t>تعارض_الدور</t>
        </is>
      </c>
      <c r="AB1" s="178" t="inlineStr">
        <is>
          <t>ملخص_مشكلات_الجودة</t>
        </is>
      </c>
      <c r="AC1" s="178" t="inlineStr">
        <is>
          <t>عدد_مشكلات_الجودة</t>
        </is>
      </c>
      <c r="AD1" s="178" t="inlineStr">
        <is>
          <t>عدد_سجلات_المصدر</t>
        </is>
      </c>
      <c r="AE1" s="178" t="inlineStr">
        <is>
          <t>صف_المصدر_المعتمد</t>
        </is>
      </c>
    </row>
    <row r="2" ht="22" customHeight="1">
      <c r="A2" s="188" t="n">
        <v>300105</v>
      </c>
      <c r="B2" s="179" t="inlineStr">
        <is>
          <t>Anita Sharma</t>
        </is>
      </c>
      <c r="C2" s="179" t="inlineStr">
        <is>
          <t>أنثى</t>
        </is>
      </c>
      <c r="D2" s="179" t="inlineStr">
        <is>
          <t>الهند</t>
        </is>
      </c>
      <c r="E2" s="189" t="n">
        <v>36775</v>
      </c>
      <c r="F2" s="180" t="n">
        <v>25</v>
      </c>
      <c r="G2" s="189" t="n">
        <v>45999</v>
      </c>
      <c r="H2" s="182" t="n">
        <v>0.7</v>
      </c>
      <c r="I2" s="179" t="inlineStr">
        <is>
          <t>مستشفى الملك فهد التخصصي بتبوك</t>
        </is>
      </c>
      <c r="J2" s="179" t="inlineStr">
        <is>
          <t>مستشفى مرجعي</t>
        </is>
      </c>
      <c r="K2" s="179" t="inlineStr">
        <is>
          <t>الإدارة التنفيذية للمستشفيات</t>
        </is>
      </c>
      <c r="L2" s="179" t="inlineStr">
        <is>
          <t>أطباء</t>
        </is>
      </c>
      <c r="M2" s="179" t="inlineStr">
        <is>
          <t>أخصائي طب أسرة</t>
        </is>
      </c>
      <c r="N2" s="179" t="inlineStr">
        <is>
          <t>أخصائي</t>
        </is>
      </c>
      <c r="O2" s="179" t="inlineStr">
        <is>
          <t>رسمي (بند الوظائف)</t>
        </is>
      </c>
      <c r="P2" s="179" t="inlineStr">
        <is>
          <t>على رأس العمل</t>
        </is>
      </c>
      <c r="Q2" s="180" t="n">
        <v>15150</v>
      </c>
      <c r="R2" s="182" t="n">
        <v>91.90000000000001</v>
      </c>
      <c r="S2" s="182" t="n">
        <v>91.90000000000001</v>
      </c>
      <c r="T2" s="179" t="inlineStr">
        <is>
          <t>نعم</t>
        </is>
      </c>
      <c r="U2" s="179" t="inlineStr">
        <is>
          <t>بكالوريوس</t>
        </is>
      </c>
      <c r="V2" s="179" t="inlineStr">
        <is>
          <t>نعم</t>
        </is>
      </c>
      <c r="W2" s="189" t="n">
        <v>46148</v>
      </c>
      <c r="X2" s="179" t="inlineStr">
        <is>
          <t>منتهي</t>
        </is>
      </c>
      <c r="Y2" s="180" t="n">
        <v>-105</v>
      </c>
      <c r="Z2" s="179" t="inlineStr">
        <is>
          <t>أخصائي طب أسرة</t>
        </is>
      </c>
      <c r="AA2" s="179" t="inlineStr">
        <is>
          <t>لا توجد إشارة واضحة</t>
        </is>
      </c>
      <c r="AB2" s="166" t="inlineStr">
        <is>
          <t>لا توجد ملاحظة جودة مباشرة</t>
        </is>
      </c>
      <c r="AC2" s="180" t="n">
        <v>0</v>
      </c>
      <c r="AD2" s="180" t="n">
        <v>1</v>
      </c>
      <c r="AE2" s="180" t="n">
        <v>26</v>
      </c>
    </row>
    <row r="3" ht="22" customHeight="1">
      <c r="A3" s="191" t="n">
        <v>300108</v>
      </c>
      <c r="B3" s="183" t="inlineStr">
        <is>
          <t>Fatima Noor</t>
        </is>
      </c>
      <c r="C3" s="183" t="inlineStr">
        <is>
          <t>أنثى</t>
        </is>
      </c>
      <c r="D3" s="183" t="inlineStr">
        <is>
          <t>باكستان</t>
        </is>
      </c>
      <c r="E3" s="192" t="n">
        <v>29207</v>
      </c>
      <c r="F3" s="184" t="n">
        <v>46</v>
      </c>
      <c r="G3" s="192" t="n">
        <v>44912</v>
      </c>
      <c r="H3" s="186" t="n">
        <v>3.7</v>
      </c>
      <c r="I3" s="183" t="inlineStr">
        <is>
          <t>مستشفى الملك خالد المدني</t>
        </is>
      </c>
      <c r="J3" s="183" t="inlineStr">
        <is>
          <t>مستشفى عام</t>
        </is>
      </c>
      <c r="K3" s="183" t="inlineStr">
        <is>
          <t>الإدارة التنفيذية للمستشفيات</t>
        </is>
      </c>
      <c r="L3" s="183" t="inlineStr">
        <is>
          <t>تمريض</t>
        </is>
      </c>
      <c r="M3" s="183" t="inlineStr">
        <is>
          <t>أخصائي تمريض</t>
        </is>
      </c>
      <c r="N3" s="183" t="inlineStr">
        <is>
          <t>أخصائي تمريض</t>
        </is>
      </c>
      <c r="O3" s="183" t="inlineStr">
        <is>
          <t>رسمي (بند الوظائف)</t>
        </is>
      </c>
      <c r="P3" s="183" t="inlineStr">
        <is>
          <t>على رأس العمل</t>
        </is>
      </c>
      <c r="Q3" s="184" t="n">
        <v>11200</v>
      </c>
      <c r="R3" s="186" t="n">
        <v>75.7</v>
      </c>
      <c r="S3" s="186" t="n">
        <v>75.7</v>
      </c>
      <c r="T3" s="183" t="inlineStr">
        <is>
          <t>نعم</t>
        </is>
      </c>
      <c r="U3" s="183" t="inlineStr">
        <is>
          <t>دبلوم</t>
        </is>
      </c>
      <c r="V3" s="183" t="inlineStr">
        <is>
          <t>نعم</t>
        </is>
      </c>
      <c r="W3" s="192" t="n">
        <v>46465</v>
      </c>
      <c r="X3" s="183" t="inlineStr">
        <is>
          <t>ساري لأكثر من 90 يوم</t>
        </is>
      </c>
      <c r="Y3" s="184" t="n">
        <v>212</v>
      </c>
      <c r="Z3" s="183" t="inlineStr">
        <is>
          <t>أخصائي تمريض - أقسام داخلية</t>
        </is>
      </c>
      <c r="AA3" s="183" t="inlineStr">
        <is>
          <t>لا توجد إشارة واضحة</t>
        </is>
      </c>
      <c r="AB3" s="172" t="inlineStr">
        <is>
          <t>لا توجد ملاحظة جودة مباشرة</t>
        </is>
      </c>
      <c r="AC3" s="184" t="n">
        <v>0</v>
      </c>
      <c r="AD3" s="184" t="n">
        <v>1</v>
      </c>
      <c r="AE3" s="184" t="n">
        <v>39</v>
      </c>
    </row>
    <row r="4" ht="22" customHeight="1">
      <c r="A4" s="188" t="n">
        <v>300113</v>
      </c>
      <c r="B4" s="179" t="inlineStr">
        <is>
          <t>Rajesh Kumar</t>
        </is>
      </c>
      <c r="C4" s="179" t="inlineStr">
        <is>
          <t>ذكر</t>
        </is>
      </c>
      <c r="D4" s="179" t="inlineStr">
        <is>
          <t>الهند</t>
        </is>
      </c>
      <c r="E4" s="189" t="n">
        <v>25403</v>
      </c>
      <c r="F4" s="180" t="n">
        <v>57</v>
      </c>
      <c r="G4" s="189" t="n">
        <v>44446</v>
      </c>
      <c r="H4" s="182" t="n">
        <v>4.9</v>
      </c>
      <c r="I4" s="179" t="inlineStr">
        <is>
          <t>مستشفى الملك خالد المدني</t>
        </is>
      </c>
      <c r="J4" s="179" t="inlineStr">
        <is>
          <t>مستشفى عام</t>
        </is>
      </c>
      <c r="K4" s="179" t="inlineStr">
        <is>
          <t>الإدارة التنفيذية للمستشفيات</t>
        </is>
      </c>
      <c r="L4" s="179" t="inlineStr">
        <is>
          <t>الخدمات المساندة</t>
        </is>
      </c>
      <c r="M4" s="179" t="inlineStr">
        <is>
          <t>فني صيانة</t>
        </is>
      </c>
      <c r="N4" s="179" t="inlineStr">
        <is>
          <t>مساند</t>
        </is>
      </c>
      <c r="O4" s="179" t="inlineStr">
        <is>
          <t>تشغيل ذاتي</t>
        </is>
      </c>
      <c r="P4" s="179" t="inlineStr">
        <is>
          <t>على رأس العمل</t>
        </is>
      </c>
      <c r="Q4" s="180" t="n">
        <v>5050</v>
      </c>
      <c r="R4" s="182" t="n">
        <v>83.5</v>
      </c>
      <c r="S4" s="182" t="n">
        <v>83.5</v>
      </c>
      <c r="T4" s="179" t="inlineStr">
        <is>
          <t>نعم</t>
        </is>
      </c>
      <c r="U4" s="179" t="inlineStr">
        <is>
          <t>بكالوريوس</t>
        </is>
      </c>
      <c r="V4" s="179" t="inlineStr">
        <is>
          <t>لا ينطبق</t>
        </is>
      </c>
      <c r="W4" s="189" t="n"/>
      <c r="X4" s="179" t="inlineStr">
        <is>
          <t>لا ينطبق</t>
        </is>
      </c>
      <c r="Y4" s="180" t="n"/>
      <c r="Z4" s="179" t="inlineStr">
        <is>
          <t>فني صيانة - الأجهزة الطبية</t>
        </is>
      </c>
      <c r="AA4" s="179" t="inlineStr">
        <is>
          <t>لا توجد إشارة واضحة</t>
        </is>
      </c>
      <c r="AB4" s="166" t="inlineStr">
        <is>
          <t>لا توجد ملاحظة جودة مباشرة</t>
        </is>
      </c>
      <c r="AC4" s="180" t="n">
        <v>0</v>
      </c>
      <c r="AD4" s="180" t="n">
        <v>1</v>
      </c>
      <c r="AE4" s="180" t="n">
        <v>8</v>
      </c>
    </row>
    <row r="5" ht="22" customHeight="1">
      <c r="A5" s="191" t="n">
        <v>300120</v>
      </c>
      <c r="B5" s="183" t="inlineStr">
        <is>
          <t>Joseph Cruz</t>
        </is>
      </c>
      <c r="C5" s="183" t="inlineStr">
        <is>
          <t>ذكر</t>
        </is>
      </c>
      <c r="D5" s="183" t="inlineStr">
        <is>
          <t>الفلبين</t>
        </is>
      </c>
      <c r="E5" s="192" t="n">
        <v>34769</v>
      </c>
      <c r="F5" s="184" t="n">
        <v>31</v>
      </c>
      <c r="G5" s="192" t="n">
        <v>43494</v>
      </c>
      <c r="H5" s="186" t="n">
        <v>7.6</v>
      </c>
      <c r="I5" s="183" t="inlineStr">
        <is>
          <t>مستشفى الملك فهد التخصصي بتبوك</t>
        </is>
      </c>
      <c r="J5" s="183" t="inlineStr">
        <is>
          <t>مستشفى مرجعي</t>
        </is>
      </c>
      <c r="K5" s="183" t="inlineStr">
        <is>
          <t>الإدارة التنفيذية للمستشفيات</t>
        </is>
      </c>
      <c r="L5" s="183" t="inlineStr">
        <is>
          <t>تمريض</t>
        </is>
      </c>
      <c r="M5" s="183" t="inlineStr">
        <is>
          <t>مشرف تمريض</t>
        </is>
      </c>
      <c r="N5" s="183" t="inlineStr">
        <is>
          <t>أخصائي تمريض</t>
        </is>
      </c>
      <c r="O5" s="183" t="inlineStr">
        <is>
          <t>عقود تشغيل</t>
        </is>
      </c>
      <c r="P5" s="183" t="inlineStr">
        <is>
          <t>على رأس العمل</t>
        </is>
      </c>
      <c r="Q5" s="184" t="n">
        <v>8300</v>
      </c>
      <c r="R5" s="186" t="n">
        <v>79.8</v>
      </c>
      <c r="S5" s="186" t="n">
        <v>79.8</v>
      </c>
      <c r="T5" s="183" t="inlineStr">
        <is>
          <t>نعم</t>
        </is>
      </c>
      <c r="U5" s="183" t="inlineStr">
        <is>
          <t>دبلوم</t>
        </is>
      </c>
      <c r="V5" s="183" t="inlineStr">
        <is>
          <t>نعم</t>
        </is>
      </c>
      <c r="W5" s="192" t="n">
        <v>46719</v>
      </c>
      <c r="X5" s="183" t="inlineStr">
        <is>
          <t>ساري لأكثر من 90 يوم</t>
        </is>
      </c>
      <c r="Y5" s="184" t="n">
        <v>466</v>
      </c>
      <c r="Z5" s="183" t="inlineStr">
        <is>
          <t>مشرف تمريض</t>
        </is>
      </c>
      <c r="AA5" s="183" t="inlineStr">
        <is>
          <t>لا توجد إشارة واضحة</t>
        </is>
      </c>
      <c r="AB5" s="172" t="inlineStr">
        <is>
          <t>لا توجد ملاحظة جودة مباشرة</t>
        </is>
      </c>
      <c r="AC5" s="184" t="n">
        <v>0</v>
      </c>
      <c r="AD5" s="184" t="n">
        <v>1</v>
      </c>
      <c r="AE5" s="184" t="n">
        <v>31</v>
      </c>
    </row>
    <row r="6" ht="22" customHeight="1">
      <c r="A6" s="188" t="n">
        <v>300131</v>
      </c>
      <c r="B6" s="179" t="inlineStr">
        <is>
          <t>أحمد الزهراني</t>
        </is>
      </c>
      <c r="C6" s="179" t="inlineStr">
        <is>
          <t>ذكر</t>
        </is>
      </c>
      <c r="D6" s="179" t="inlineStr">
        <is>
          <t>سعودي</t>
        </is>
      </c>
      <c r="E6" s="189" t="n">
        <v>32047</v>
      </c>
      <c r="F6" s="180" t="n">
        <v>38</v>
      </c>
      <c r="G6" s="189" t="n">
        <v>43885</v>
      </c>
      <c r="H6" s="182" t="n">
        <v>6.5</v>
      </c>
      <c r="I6" s="179" t="inlineStr">
        <is>
          <t>مستشفى الملك فهد التخصصي بتبوك</t>
        </is>
      </c>
      <c r="J6" s="179" t="inlineStr">
        <is>
          <t>مستشفى مرجعي</t>
        </is>
      </c>
      <c r="K6" s="179" t="inlineStr">
        <is>
          <t>الإدارة التنفيذية للمستشفيات</t>
        </is>
      </c>
      <c r="L6" s="179" t="inlineStr">
        <is>
          <t>تمريض</t>
        </is>
      </c>
      <c r="M6" s="179" t="inlineStr">
        <is>
          <t>أخصائي تمريض</t>
        </is>
      </c>
      <c r="N6" s="179" t="inlineStr">
        <is>
          <t>أخصائي تمريض</t>
        </is>
      </c>
      <c r="O6" s="179" t="inlineStr">
        <is>
          <t>تشغيل ذاتي</t>
        </is>
      </c>
      <c r="P6" s="179" t="inlineStr">
        <is>
          <t>موقوف عن العمل</t>
        </is>
      </c>
      <c r="Q6" s="180" t="n">
        <v>9700</v>
      </c>
      <c r="R6" s="182" t="n">
        <v>94.59999999999999</v>
      </c>
      <c r="S6" s="182" t="n">
        <v>94.59999999999999</v>
      </c>
      <c r="T6" s="179" t="inlineStr">
        <is>
          <t>نعم</t>
        </is>
      </c>
      <c r="U6" s="179" t="inlineStr">
        <is>
          <t>دبلوم</t>
        </is>
      </c>
      <c r="V6" s="179" t="inlineStr">
        <is>
          <t>لا</t>
        </is>
      </c>
      <c r="W6" s="189" t="n"/>
      <c r="X6" s="179" t="inlineStr">
        <is>
          <t>غير مسجل</t>
        </is>
      </c>
      <c r="Y6" s="180" t="n"/>
      <c r="Z6" s="179" t="inlineStr">
        <is>
          <t>أخصائي تمريض - أقسام داخلية</t>
        </is>
      </c>
      <c r="AA6" s="179" t="inlineStr">
        <is>
          <t>لا توجد إشارة واضحة</t>
        </is>
      </c>
      <c r="AB6" s="166" t="inlineStr">
        <is>
          <t>حالة تسجيل مهني تحتاج تحقق</t>
        </is>
      </c>
      <c r="AC6" s="180" t="n">
        <v>1</v>
      </c>
      <c r="AD6" s="180" t="n">
        <v>1</v>
      </c>
      <c r="AE6" s="180" t="n">
        <v>42</v>
      </c>
    </row>
    <row r="7" ht="22" customHeight="1">
      <c r="A7" s="191" t="n">
        <v>300142</v>
      </c>
      <c r="B7" s="183" t="inlineStr">
        <is>
          <t>لمى البلوي</t>
        </is>
      </c>
      <c r="C7" s="183" t="inlineStr">
        <is>
          <t>أنثى</t>
        </is>
      </c>
      <c r="D7" s="183" t="inlineStr">
        <is>
          <t>سعودي</t>
        </is>
      </c>
      <c r="E7" s="192" t="n">
        <v>24922</v>
      </c>
      <c r="F7" s="184" t="n">
        <v>58</v>
      </c>
      <c r="G7" s="192" t="n">
        <v>40953</v>
      </c>
      <c r="H7" s="186" t="n">
        <v>14.5</v>
      </c>
      <c r="I7" s="183" t="inlineStr">
        <is>
          <t>مستشفى الملك خالد المدني</t>
        </is>
      </c>
      <c r="J7" s="183" t="inlineStr">
        <is>
          <t>مستشفى عام</t>
        </is>
      </c>
      <c r="K7" s="183" t="inlineStr">
        <is>
          <t>الإدارة التنفيذية للمستشفيات</t>
        </is>
      </c>
      <c r="L7" s="183" t="inlineStr">
        <is>
          <t>تمريض</t>
        </is>
      </c>
      <c r="M7" s="183" t="inlineStr">
        <is>
          <t>فني تمريض عمليات</t>
        </is>
      </c>
      <c r="N7" s="183" t="inlineStr">
        <is>
          <t>فني تمريض</t>
        </is>
      </c>
      <c r="O7" s="183" t="inlineStr">
        <is>
          <t>تشغيل ذاتي</t>
        </is>
      </c>
      <c r="P7" s="183" t="inlineStr">
        <is>
          <t>على رأس العمل</t>
        </is>
      </c>
      <c r="Q7" s="184" t="n">
        <v>11500</v>
      </c>
      <c r="R7" s="186" t="n">
        <v>91.59999999999999</v>
      </c>
      <c r="S7" s="186" t="n">
        <v>91.59999999999999</v>
      </c>
      <c r="T7" s="183" t="inlineStr">
        <is>
          <t>نعم</t>
        </is>
      </c>
      <c r="U7" s="183" t="inlineStr">
        <is>
          <t>ماجستير</t>
        </is>
      </c>
      <c r="V7" s="183" t="inlineStr">
        <is>
          <t>نعم</t>
        </is>
      </c>
      <c r="W7" s="192" t="n">
        <v>46245</v>
      </c>
      <c r="X7" s="183" t="inlineStr">
        <is>
          <t>منتهي</t>
        </is>
      </c>
      <c r="Y7" s="184" t="n">
        <v>-8</v>
      </c>
      <c r="Z7" s="183" t="inlineStr">
        <is>
          <t>فني تمريض - غرف العمليات</t>
        </is>
      </c>
      <c r="AA7" s="183" t="inlineStr">
        <is>
          <t>لا توجد إشارة واضحة</t>
        </is>
      </c>
      <c r="AB7" s="172" t="inlineStr">
        <is>
          <t>لا توجد ملاحظة جودة مباشرة</t>
        </is>
      </c>
      <c r="AC7" s="184" t="n">
        <v>0</v>
      </c>
      <c r="AD7" s="184" t="n">
        <v>1</v>
      </c>
      <c r="AE7" s="184" t="n">
        <v>11</v>
      </c>
    </row>
    <row r="8" ht="22" customHeight="1">
      <c r="A8" s="188" t="n">
        <v>300153</v>
      </c>
      <c r="B8" s="179" t="inlineStr">
        <is>
          <t>نورة الصاعدي</t>
        </is>
      </c>
      <c r="C8" s="179" t="inlineStr">
        <is>
          <t>أنثى</t>
        </is>
      </c>
      <c r="D8" s="179" t="inlineStr">
        <is>
          <t>سعودي</t>
        </is>
      </c>
      <c r="E8" s="189" t="n">
        <v>36109</v>
      </c>
      <c r="F8" s="180" t="n">
        <v>27</v>
      </c>
      <c r="G8" s="189" t="n">
        <v>44761</v>
      </c>
      <c r="H8" s="182" t="n">
        <v>4.1</v>
      </c>
      <c r="I8" s="179" t="inlineStr">
        <is>
          <t>مستشفى الملك خالد المدني</t>
        </is>
      </c>
      <c r="J8" s="179" t="inlineStr">
        <is>
          <t>مستشفى عام</t>
        </is>
      </c>
      <c r="K8" s="179" t="inlineStr">
        <is>
          <t>الإدارة التنفيذية للمستشفيات</t>
        </is>
      </c>
      <c r="L8" s="179" t="inlineStr">
        <is>
          <t>الخدمات المعاونة</t>
        </is>
      </c>
      <c r="M8" s="179" t="inlineStr">
        <is>
          <t>أمين مستودع</t>
        </is>
      </c>
      <c r="N8" s="179" t="inlineStr">
        <is>
          <t>مساند</t>
        </is>
      </c>
      <c r="O8" s="179" t="inlineStr">
        <is>
          <t>رسمي (بند الوظائف)</t>
        </is>
      </c>
      <c r="P8" s="179" t="inlineStr">
        <is>
          <t>على رأس العمل</t>
        </is>
      </c>
      <c r="Q8" s="180" t="n">
        <v>5100</v>
      </c>
      <c r="R8" s="182" t="n">
        <v>98</v>
      </c>
      <c r="S8" s="182" t="n">
        <v>98</v>
      </c>
      <c r="T8" s="179" t="inlineStr">
        <is>
          <t>نعم</t>
        </is>
      </c>
      <c r="U8" s="179" t="inlineStr">
        <is>
          <t>بكالوريوس</t>
        </is>
      </c>
      <c r="V8" s="179" t="inlineStr">
        <is>
          <t>لا ينطبق</t>
        </is>
      </c>
      <c r="W8" s="189" t="n"/>
      <c r="X8" s="179" t="inlineStr">
        <is>
          <t>لا ينطبق</t>
        </is>
      </c>
      <c r="Y8" s="180" t="n"/>
      <c r="Z8" s="179" t="inlineStr">
        <is>
          <t>أمين مستودع</t>
        </is>
      </c>
      <c r="AA8" s="179" t="inlineStr">
        <is>
          <t>لا توجد إشارة واضحة</t>
        </is>
      </c>
      <c r="AB8" s="166" t="inlineStr">
        <is>
          <t>لا توجد ملاحظة جودة مباشرة</t>
        </is>
      </c>
      <c r="AC8" s="180" t="n">
        <v>0</v>
      </c>
      <c r="AD8" s="180" t="n">
        <v>1</v>
      </c>
      <c r="AE8" s="180" t="n">
        <v>30</v>
      </c>
    </row>
    <row r="9" ht="22" customHeight="1">
      <c r="A9" s="191" t="n">
        <v>300162</v>
      </c>
      <c r="B9" s="183" t="inlineStr">
        <is>
          <t>عمر البلوي</t>
        </is>
      </c>
      <c r="C9" s="183" t="inlineStr">
        <is>
          <t>ذكر</t>
        </is>
      </c>
      <c r="D9" s="183" t="inlineStr">
        <is>
          <t>سعودي</t>
        </is>
      </c>
      <c r="E9" s="192" t="n">
        <v>36804</v>
      </c>
      <c r="F9" s="184" t="n">
        <v>25</v>
      </c>
      <c r="G9" s="192" t="n">
        <v>45338</v>
      </c>
      <c r="H9" s="186" t="n">
        <v>2.5</v>
      </c>
      <c r="I9" s="183" t="inlineStr">
        <is>
          <t>مستشفى الملك خالد المدني</t>
        </is>
      </c>
      <c r="J9" s="183" t="inlineStr">
        <is>
          <t>مستشفى عام</t>
        </is>
      </c>
      <c r="K9" s="183" t="inlineStr">
        <is>
          <t>الإدارة التنفيذية للمستشفيات</t>
        </is>
      </c>
      <c r="L9" s="183" t="inlineStr">
        <is>
          <t>الصحة المساعدة</t>
        </is>
      </c>
      <c r="M9" s="183" t="inlineStr">
        <is>
          <t>فني مختبر</t>
        </is>
      </c>
      <c r="N9" s="183" t="inlineStr">
        <is>
          <t>فني</t>
        </is>
      </c>
      <c r="O9" s="183" t="inlineStr">
        <is>
          <t>رسمي (بند الوظائف)</t>
        </is>
      </c>
      <c r="P9" s="183" t="inlineStr">
        <is>
          <t>على رأس العمل</t>
        </is>
      </c>
      <c r="Q9" s="184" t="n">
        <v>12000</v>
      </c>
      <c r="R9" s="186" t="n">
        <v>78.90000000000001</v>
      </c>
      <c r="S9" s="186" t="n">
        <v>78.90000000000001</v>
      </c>
      <c r="T9" s="183" t="inlineStr">
        <is>
          <t>نعم</t>
        </is>
      </c>
      <c r="U9" s="183" t="inlineStr">
        <is>
          <t>ماجستير</t>
        </is>
      </c>
      <c r="V9" s="183" t="inlineStr">
        <is>
          <t>لا</t>
        </is>
      </c>
      <c r="W9" s="192" t="n"/>
      <c r="X9" s="183" t="inlineStr">
        <is>
          <t>غير مسجل</t>
        </is>
      </c>
      <c r="Y9" s="184" t="n"/>
      <c r="Z9" s="183" t="inlineStr">
        <is>
          <t>فني مختبر</t>
        </is>
      </c>
      <c r="AA9" s="183" t="inlineStr">
        <is>
          <t>لا توجد إشارة واضحة</t>
        </is>
      </c>
      <c r="AB9" s="172" t="inlineStr">
        <is>
          <t>حالة تسجيل مهني تحتاج تحقق</t>
        </is>
      </c>
      <c r="AC9" s="184" t="n">
        <v>1</v>
      </c>
      <c r="AD9" s="184" t="n">
        <v>1</v>
      </c>
      <c r="AE9" s="184" t="n">
        <v>47</v>
      </c>
    </row>
    <row r="10" ht="22" customHeight="1">
      <c r="A10" s="188" t="n">
        <v>300169</v>
      </c>
      <c r="B10" s="179" t="inlineStr">
        <is>
          <t>أروى الزهراني</t>
        </is>
      </c>
      <c r="C10" s="179" t="inlineStr">
        <is>
          <t>أنثى</t>
        </is>
      </c>
      <c r="D10" s="179" t="inlineStr">
        <is>
          <t>سعودي</t>
        </is>
      </c>
      <c r="E10" s="189" t="n">
        <v>36166</v>
      </c>
      <c r="F10" s="180" t="n">
        <v>27</v>
      </c>
      <c r="G10" s="189" t="n">
        <v>45509</v>
      </c>
      <c r="H10" s="182" t="n">
        <v>2</v>
      </c>
      <c r="I10" s="179" t="inlineStr">
        <is>
          <t>مستشفى الملك خالد المدني</t>
        </is>
      </c>
      <c r="J10" s="179" t="inlineStr">
        <is>
          <t>مستشفى عام</t>
        </is>
      </c>
      <c r="K10" s="179" t="inlineStr">
        <is>
          <t>الإدارة التنفيذية للمستشفيات</t>
        </is>
      </c>
      <c r="L10" s="179" t="inlineStr">
        <is>
          <t>الصحة المساعدة</t>
        </is>
      </c>
      <c r="M10" s="179" t="inlineStr">
        <is>
          <t>أخصائي أشعة</t>
        </is>
      </c>
      <c r="N10" s="179" t="inlineStr">
        <is>
          <t>أخصائي</t>
        </is>
      </c>
      <c r="O10" s="179" t="inlineStr">
        <is>
          <t>رسمي (بند الوظائف)</t>
        </is>
      </c>
      <c r="P10" s="179" t="inlineStr">
        <is>
          <t>غير محدد</t>
        </is>
      </c>
      <c r="Q10" s="180" t="n">
        <v>9900</v>
      </c>
      <c r="R10" s="182" t="n">
        <v>92.3</v>
      </c>
      <c r="S10" s="182" t="n">
        <v>92.3</v>
      </c>
      <c r="T10" s="179" t="inlineStr">
        <is>
          <t>نعم</t>
        </is>
      </c>
      <c r="U10" s="179" t="inlineStr">
        <is>
          <t>دبلوم</t>
        </is>
      </c>
      <c r="V10" s="179" t="inlineStr">
        <is>
          <t>نعم</t>
        </is>
      </c>
      <c r="W10" s="189" t="n">
        <v>47115</v>
      </c>
      <c r="X10" s="179" t="inlineStr">
        <is>
          <t>ساري لأكثر من 90 يوم</t>
        </is>
      </c>
      <c r="Y10" s="180" t="n">
        <v>862</v>
      </c>
      <c r="Z10" s="179" t="inlineStr">
        <is>
          <t>أخصائي أشعة - التصوير المقطعي</t>
        </is>
      </c>
      <c r="AA10" s="179" t="inlineStr">
        <is>
          <t>لا توجد إشارة واضحة</t>
        </is>
      </c>
      <c r="AB10" s="166" t="inlineStr">
        <is>
          <t>حالة وظيفية مفقودة</t>
        </is>
      </c>
      <c r="AC10" s="180" t="n">
        <v>1</v>
      </c>
      <c r="AD10" s="180" t="n">
        <v>1</v>
      </c>
      <c r="AE10" s="180" t="n">
        <v>15</v>
      </c>
    </row>
    <row r="11" ht="22" customHeight="1">
      <c r="A11" s="191" t="n">
        <v>300177</v>
      </c>
      <c r="B11" s="183" t="inlineStr">
        <is>
          <t>شهد الشمري</t>
        </is>
      </c>
      <c r="C11" s="183" t="inlineStr">
        <is>
          <t>أنثى</t>
        </is>
      </c>
      <c r="D11" s="183" t="inlineStr">
        <is>
          <t>سعودي</t>
        </is>
      </c>
      <c r="E11" s="192" t="n">
        <v>30435</v>
      </c>
      <c r="F11" s="184" t="n">
        <v>43</v>
      </c>
      <c r="G11" s="192" t="n">
        <v>45120</v>
      </c>
      <c r="H11" s="186" t="n">
        <v>3.1</v>
      </c>
      <c r="I11" s="183" t="inlineStr">
        <is>
          <t>مستشفى الملك خالد المدني</t>
        </is>
      </c>
      <c r="J11" s="183" t="inlineStr">
        <is>
          <t>مستشفى عام</t>
        </is>
      </c>
      <c r="K11" s="183" t="inlineStr">
        <is>
          <t>الإدارة التنفيذية للمستشفيات</t>
        </is>
      </c>
      <c r="L11" s="183" t="inlineStr">
        <is>
          <t>تمريض</t>
        </is>
      </c>
      <c r="M11" s="183" t="inlineStr">
        <is>
          <t>أخصائي تمريض</t>
        </is>
      </c>
      <c r="N11" s="183" t="inlineStr">
        <is>
          <t>أخصائي تمريض</t>
        </is>
      </c>
      <c r="O11" s="183" t="inlineStr">
        <is>
          <t>رسمي (بند الوظائف)</t>
        </is>
      </c>
      <c r="P11" s="183" t="inlineStr">
        <is>
          <t>على رأس العمل</t>
        </is>
      </c>
      <c r="Q11" s="184" t="n">
        <v>0</v>
      </c>
      <c r="R11" s="186" t="n">
        <v>84.59999999999999</v>
      </c>
      <c r="S11" s="186" t="n">
        <v>84.59999999999999</v>
      </c>
      <c r="T11" s="183" t="inlineStr">
        <is>
          <t>نعم</t>
        </is>
      </c>
      <c r="U11" s="183" t="inlineStr">
        <is>
          <t>دبلوم</t>
        </is>
      </c>
      <c r="V11" s="183" t="inlineStr">
        <is>
          <t>نعم</t>
        </is>
      </c>
      <c r="W11" s="192" t="n">
        <v>46412</v>
      </c>
      <c r="X11" s="183" t="inlineStr">
        <is>
          <t>ساري لأكثر من 90 يوم</t>
        </is>
      </c>
      <c r="Y11" s="184" t="n">
        <v>159</v>
      </c>
      <c r="Z11" s="183" t="inlineStr">
        <is>
          <t>أخصائي تمريض - أقسام داخلية</t>
        </is>
      </c>
      <c r="AA11" s="183" t="inlineStr">
        <is>
          <t>لا توجد إشارة واضحة</t>
        </is>
      </c>
      <c r="AB11" s="172" t="inlineStr">
        <is>
          <t>راتب صفري</t>
        </is>
      </c>
      <c r="AC11" s="184" t="n">
        <v>1</v>
      </c>
      <c r="AD11" s="184" t="n">
        <v>1</v>
      </c>
      <c r="AE11" s="184" t="n">
        <v>10</v>
      </c>
    </row>
    <row r="12" ht="22" customHeight="1">
      <c r="A12" s="188" t="n">
        <v>300186</v>
      </c>
      <c r="B12" s="179" t="inlineStr">
        <is>
          <t>Joseph Cruz</t>
        </is>
      </c>
      <c r="C12" s="179" t="inlineStr">
        <is>
          <t>ذكر</t>
        </is>
      </c>
      <c r="D12" s="179" t="inlineStr">
        <is>
          <t>الفلبين</t>
        </is>
      </c>
      <c r="E12" s="189" t="n">
        <v>34247</v>
      </c>
      <c r="F12" s="180" t="n">
        <v>32</v>
      </c>
      <c r="G12" s="189" t="n">
        <v>44631</v>
      </c>
      <c r="H12" s="182" t="n">
        <v>4.4</v>
      </c>
      <c r="I12" s="179" t="inlineStr">
        <is>
          <t>مستشفى الملك خالد المدني</t>
        </is>
      </c>
      <c r="J12" s="179" t="inlineStr">
        <is>
          <t>مستشفى عام</t>
        </is>
      </c>
      <c r="K12" s="179" t="inlineStr">
        <is>
          <t>الإدارة التنفيذية للمستشفيات</t>
        </is>
      </c>
      <c r="L12" s="179" t="inlineStr">
        <is>
          <t>الصحة المساعدة</t>
        </is>
      </c>
      <c r="M12" s="179" t="inlineStr">
        <is>
          <t>فني صيدلة</t>
        </is>
      </c>
      <c r="N12" s="179" t="inlineStr">
        <is>
          <t>فني</t>
        </is>
      </c>
      <c r="O12" s="179" t="inlineStr">
        <is>
          <t>رسمي (بند الوظائف)</t>
        </is>
      </c>
      <c r="P12" s="179" t="inlineStr">
        <is>
          <t>على رأس العمل</t>
        </is>
      </c>
      <c r="Q12" s="180" t="n">
        <v>11600</v>
      </c>
      <c r="R12" s="182" t="n">
        <v>75.7</v>
      </c>
      <c r="S12" s="182" t="n">
        <v>75.7</v>
      </c>
      <c r="T12" s="179" t="inlineStr">
        <is>
          <t>نعم</t>
        </is>
      </c>
      <c r="U12" s="179" t="inlineStr">
        <is>
          <t>بكالوريوس</t>
        </is>
      </c>
      <c r="V12" s="179" t="inlineStr">
        <is>
          <t>نعم</t>
        </is>
      </c>
      <c r="W12" s="189" t="n">
        <v>46924</v>
      </c>
      <c r="X12" s="179" t="inlineStr">
        <is>
          <t>ساري لأكثر من 90 يوم</t>
        </is>
      </c>
      <c r="Y12" s="180" t="n">
        <v>671</v>
      </c>
      <c r="Z12" s="179" t="inlineStr">
        <is>
          <t>فني صيدلة</t>
        </is>
      </c>
      <c r="AA12" s="179" t="inlineStr">
        <is>
          <t>لا توجد إشارة واضحة</t>
        </is>
      </c>
      <c r="AB12" s="166" t="inlineStr">
        <is>
          <t>لا توجد ملاحظة جودة مباشرة</t>
        </is>
      </c>
      <c r="AC12" s="180" t="n">
        <v>0</v>
      </c>
      <c r="AD12" s="180" t="n">
        <v>1</v>
      </c>
      <c r="AE12" s="180" t="n">
        <v>38</v>
      </c>
    </row>
    <row r="13" ht="22" customHeight="1">
      <c r="A13" s="191" t="n">
        <v>300195</v>
      </c>
      <c r="B13" s="183" t="inlineStr">
        <is>
          <t>نورة الغامدي</t>
        </is>
      </c>
      <c r="C13" s="183" t="inlineStr">
        <is>
          <t>أنثى</t>
        </is>
      </c>
      <c r="D13" s="183" t="inlineStr">
        <is>
          <t>سعودي</t>
        </is>
      </c>
      <c r="E13" s="192" t="n">
        <v>34221</v>
      </c>
      <c r="F13" s="184" t="n">
        <v>32</v>
      </c>
      <c r="G13" s="192" t="n">
        <v>42745</v>
      </c>
      <c r="H13" s="186" t="n">
        <v>9.6</v>
      </c>
      <c r="I13" s="183" t="inlineStr">
        <is>
          <t>مركز صحي المروج</t>
        </is>
      </c>
      <c r="J13" s="183" t="inlineStr">
        <is>
          <t>مركز رعاية أولية</t>
        </is>
      </c>
      <c r="K13" s="183" t="inlineStr">
        <is>
          <t>الإدارة التنفيذية للرعاية الصحية الأولية</t>
        </is>
      </c>
      <c r="L13" s="183" t="inlineStr">
        <is>
          <t>تمريض</t>
        </is>
      </c>
      <c r="M13" s="183" t="inlineStr">
        <is>
          <t>فني تمريض</t>
        </is>
      </c>
      <c r="N13" s="183" t="inlineStr">
        <is>
          <t>فني تمريض</t>
        </is>
      </c>
      <c r="O13" s="183" t="inlineStr">
        <is>
          <t>رسمي (بند الوظائف)</t>
        </is>
      </c>
      <c r="P13" s="183" t="inlineStr">
        <is>
          <t>على رأس العمل</t>
        </is>
      </c>
      <c r="Q13" s="184" t="n">
        <v>12950</v>
      </c>
      <c r="R13" s="186" t="n">
        <v>70.7</v>
      </c>
      <c r="S13" s="186" t="n">
        <v>70.7</v>
      </c>
      <c r="T13" s="183" t="inlineStr">
        <is>
          <t>نعم</t>
        </is>
      </c>
      <c r="U13" s="183" t="inlineStr">
        <is>
          <t>ماجستير</t>
        </is>
      </c>
      <c r="V13" s="183" t="inlineStr">
        <is>
          <t>نعم</t>
        </is>
      </c>
      <c r="W13" s="192" t="n">
        <v>46418</v>
      </c>
      <c r="X13" s="183" t="inlineStr">
        <is>
          <t>ساري لأكثر من 90 يوم</t>
        </is>
      </c>
      <c r="Y13" s="184" t="n">
        <v>165</v>
      </c>
      <c r="Z13" s="183" t="inlineStr">
        <is>
          <t>فني تمريض - رعاية أولية</t>
        </is>
      </c>
      <c r="AA13" s="183" t="inlineStr">
        <is>
          <t>لا توجد إشارة واضحة</t>
        </is>
      </c>
      <c r="AB13" s="172" t="inlineStr">
        <is>
          <t>لا توجد ملاحظة جودة مباشرة</t>
        </is>
      </c>
      <c r="AC13" s="184" t="n">
        <v>0</v>
      </c>
      <c r="AD13" s="184" t="n">
        <v>1</v>
      </c>
      <c r="AE13" s="184" t="n">
        <v>29</v>
      </c>
    </row>
    <row r="14" ht="22" customHeight="1">
      <c r="A14" s="188" t="n">
        <v>300204</v>
      </c>
      <c r="B14" s="179" t="inlineStr">
        <is>
          <t>Fatima Noor</t>
        </is>
      </c>
      <c r="C14" s="179" t="inlineStr">
        <is>
          <t>أنثى</t>
        </is>
      </c>
      <c r="D14" s="179" t="inlineStr">
        <is>
          <t>باكستان</t>
        </is>
      </c>
      <c r="E14" s="189" t="n">
        <v>28767</v>
      </c>
      <c r="F14" s="180" t="n">
        <v>47</v>
      </c>
      <c r="G14" s="189" t="n">
        <v>37673</v>
      </c>
      <c r="H14" s="182" t="n">
        <v>23.5</v>
      </c>
      <c r="I14" s="179" t="inlineStr">
        <is>
          <t>مستشفى ضباء العام</t>
        </is>
      </c>
      <c r="J14" s="179" t="inlineStr">
        <is>
          <t>مستشفى عام</t>
        </is>
      </c>
      <c r="K14" s="179" t="inlineStr">
        <is>
          <t>الإدارة التنفيذية للمستشفيات</t>
        </is>
      </c>
      <c r="L14" s="179" t="inlineStr">
        <is>
          <t>الصحة المساعدة</t>
        </is>
      </c>
      <c r="M14" s="179" t="inlineStr">
        <is>
          <t>سائق إسعاف</t>
        </is>
      </c>
      <c r="N14" s="179" t="inlineStr">
        <is>
          <t>مساند</t>
        </is>
      </c>
      <c r="O14" s="179" t="inlineStr">
        <is>
          <t>رسمي (بند الوظائف)</t>
        </is>
      </c>
      <c r="P14" s="179" t="inlineStr">
        <is>
          <t>على رأس العمل</t>
        </is>
      </c>
      <c r="Q14" s="180" t="n">
        <v>6500</v>
      </c>
      <c r="R14" s="182" t="n">
        <v>94.8</v>
      </c>
      <c r="S14" s="182" t="n">
        <v>94.8</v>
      </c>
      <c r="T14" s="179" t="inlineStr">
        <is>
          <t>نعم</t>
        </is>
      </c>
      <c r="U14" s="179" t="inlineStr">
        <is>
          <t>ماجستير</t>
        </is>
      </c>
      <c r="V14" s="179" t="inlineStr">
        <is>
          <t>لا ينطبق</t>
        </is>
      </c>
      <c r="W14" s="189" t="n"/>
      <c r="X14" s="179" t="inlineStr">
        <is>
          <t>لا ينطبق</t>
        </is>
      </c>
      <c r="Y14" s="180" t="n"/>
      <c r="Z14" s="179" t="inlineStr">
        <is>
          <t>طبيب أسنان - عيادات الأسنان</t>
        </is>
      </c>
      <c r="AA14" s="179" t="inlineStr">
        <is>
          <t>يحتاج مراجعة</t>
        </is>
      </c>
      <c r="AB14" s="166" t="inlineStr">
        <is>
          <t>تعارض وظيفي محتمل</t>
        </is>
      </c>
      <c r="AC14" s="180" t="n">
        <v>1</v>
      </c>
      <c r="AD14" s="180" t="n">
        <v>1</v>
      </c>
      <c r="AE14" s="180" t="n">
        <v>49</v>
      </c>
    </row>
    <row r="15" ht="22" customHeight="1">
      <c r="A15" s="191" t="n">
        <v>300214</v>
      </c>
      <c r="B15" s="183" t="inlineStr">
        <is>
          <t>محمد الحويطي</t>
        </is>
      </c>
      <c r="C15" s="183" t="inlineStr">
        <is>
          <t>ذكر</t>
        </is>
      </c>
      <c r="D15" s="183" t="inlineStr">
        <is>
          <t>سعودي</t>
        </is>
      </c>
      <c r="E15" s="192" t="n">
        <v>28344</v>
      </c>
      <c r="F15" s="184" t="n">
        <v>49</v>
      </c>
      <c r="G15" s="192" t="n">
        <v>39630</v>
      </c>
      <c r="H15" s="186" t="n">
        <v>18.1</v>
      </c>
      <c r="I15" s="183" t="inlineStr">
        <is>
          <t>مستشفى الملك فهد التخصصي بتبوك</t>
        </is>
      </c>
      <c r="J15" s="183" t="inlineStr">
        <is>
          <t>مستشفى مرجعي</t>
        </is>
      </c>
      <c r="K15" s="183" t="inlineStr">
        <is>
          <t>الإدارة التنفيذية للمستشفيات</t>
        </is>
      </c>
      <c r="L15" s="183" t="inlineStr">
        <is>
          <t>الصحة المساعدة</t>
        </is>
      </c>
      <c r="M15" s="183" t="inlineStr">
        <is>
          <t>أمين مستودع</t>
        </is>
      </c>
      <c r="N15" s="183" t="inlineStr">
        <is>
          <t>مساند</t>
        </is>
      </c>
      <c r="O15" s="183" t="inlineStr">
        <is>
          <t>رسمي (بند الوظائف)</t>
        </is>
      </c>
      <c r="P15" s="183" t="inlineStr">
        <is>
          <t>على رأس العمل</t>
        </is>
      </c>
      <c r="Q15" s="184" t="n">
        <v>4650</v>
      </c>
      <c r="R15" s="186" t="n">
        <v>98</v>
      </c>
      <c r="S15" s="186" t="n">
        <v>98</v>
      </c>
      <c r="T15" s="183" t="inlineStr">
        <is>
          <t>نعم</t>
        </is>
      </c>
      <c r="U15" s="183" t="inlineStr">
        <is>
          <t>بكالوريوس</t>
        </is>
      </c>
      <c r="V15" s="183" t="inlineStr">
        <is>
          <t>لا ينطبق</t>
        </is>
      </c>
      <c r="W15" s="192" t="n"/>
      <c r="X15" s="183" t="inlineStr">
        <is>
          <t>لا ينطبق</t>
        </is>
      </c>
      <c r="Y15" s="184" t="n"/>
      <c r="Z15" s="183" t="inlineStr">
        <is>
          <t>أمين مستودع</t>
        </is>
      </c>
      <c r="AA15" s="183" t="inlineStr">
        <is>
          <t>لا توجد إشارة واضحة</t>
        </is>
      </c>
      <c r="AB15" s="172" t="inlineStr">
        <is>
          <t>لا توجد ملاحظة جودة مباشرة</t>
        </is>
      </c>
      <c r="AC15" s="184" t="n">
        <v>0</v>
      </c>
      <c r="AD15" s="184" t="n">
        <v>1</v>
      </c>
      <c r="AE15" s="184" t="n">
        <v>50</v>
      </c>
    </row>
    <row r="16" ht="22" customHeight="1">
      <c r="A16" s="188" t="n">
        <v>300217</v>
      </c>
      <c r="B16" s="179" t="inlineStr">
        <is>
          <t>ناصر الصاعدي</t>
        </is>
      </c>
      <c r="C16" s="179" t="inlineStr">
        <is>
          <t>ذكر</t>
        </is>
      </c>
      <c r="D16" s="179" t="inlineStr">
        <is>
          <t>سعودي</t>
        </is>
      </c>
      <c r="E16" s="189" t="n">
        <v>33222</v>
      </c>
      <c r="F16" s="180" t="n">
        <v>35</v>
      </c>
      <c r="G16" s="189" t="n">
        <v>44773</v>
      </c>
      <c r="H16" s="182" t="n">
        <v>4.1</v>
      </c>
      <c r="I16" s="179" t="inlineStr">
        <is>
          <t>مستشفى الملك خالد المدني</t>
        </is>
      </c>
      <c r="J16" s="179" t="inlineStr">
        <is>
          <t>مستشفى عام</t>
        </is>
      </c>
      <c r="K16" s="179" t="inlineStr">
        <is>
          <t>الإدارة التنفيذية للمستشفيات</t>
        </is>
      </c>
      <c r="L16" s="179" t="inlineStr">
        <is>
          <t>أطباء</t>
        </is>
      </c>
      <c r="M16" s="179" t="inlineStr">
        <is>
          <t>طبيب مقيم</t>
        </is>
      </c>
      <c r="N16" s="179" t="inlineStr">
        <is>
          <t>طبيب مقيم</t>
        </is>
      </c>
      <c r="O16" s="179" t="inlineStr">
        <is>
          <t>تشغيل ذاتي</t>
        </is>
      </c>
      <c r="P16" s="179" t="inlineStr">
        <is>
          <t>على رأس العمل</t>
        </is>
      </c>
      <c r="Q16" s="180" t="n">
        <v>15800</v>
      </c>
      <c r="R16" s="182" t="n"/>
      <c r="S16" s="182" t="n">
        <v>-3</v>
      </c>
      <c r="T16" s="179" t="inlineStr">
        <is>
          <t>لا</t>
        </is>
      </c>
      <c r="U16" s="179" t="inlineStr">
        <is>
          <t>بكالوريوس</t>
        </is>
      </c>
      <c r="V16" s="179" t="inlineStr">
        <is>
          <t>نعم</t>
        </is>
      </c>
      <c r="W16" s="189" t="n">
        <v>46197</v>
      </c>
      <c r="X16" s="179" t="inlineStr">
        <is>
          <t>منتهي</t>
        </is>
      </c>
      <c r="Y16" s="180" t="n">
        <v>-56</v>
      </c>
      <c r="Z16" s="179" t="inlineStr">
        <is>
          <t>سائق إسعاف</t>
        </is>
      </c>
      <c r="AA16" s="179" t="inlineStr">
        <is>
          <t>يحتاج مراجعة</t>
        </is>
      </c>
      <c r="AB16" s="166" t="inlineStr">
        <is>
          <t>تقييم أداء غير صالح | تعارض وظيفي محتمل</t>
        </is>
      </c>
      <c r="AC16" s="180" t="n">
        <v>2</v>
      </c>
      <c r="AD16" s="180" t="n">
        <v>1</v>
      </c>
      <c r="AE16" s="180" t="n">
        <v>19</v>
      </c>
    </row>
    <row r="17" ht="22" customHeight="1">
      <c r="A17" s="191" t="n">
        <v>300220</v>
      </c>
      <c r="B17" s="183" t="inlineStr">
        <is>
          <t>سعود الزهراني</t>
        </is>
      </c>
      <c r="C17" s="183" t="inlineStr">
        <is>
          <t>ذكر</t>
        </is>
      </c>
      <c r="D17" s="183" t="inlineStr">
        <is>
          <t>سعودي</t>
        </is>
      </c>
      <c r="E17" s="192" t="n">
        <v>32546</v>
      </c>
      <c r="F17" s="184" t="n">
        <v>37</v>
      </c>
      <c r="G17" s="192" t="n">
        <v>42600</v>
      </c>
      <c r="H17" s="186" t="n">
        <v>10</v>
      </c>
      <c r="I17" s="183" t="inlineStr">
        <is>
          <t>مستشفى الملك فهد التخصصي بتبوك</t>
        </is>
      </c>
      <c r="J17" s="183" t="inlineStr">
        <is>
          <t>مستشفى مرجعي</t>
        </is>
      </c>
      <c r="K17" s="183" t="inlineStr">
        <is>
          <t>الإدارة التنفيذية للمستشفيات</t>
        </is>
      </c>
      <c r="L17" s="183" t="inlineStr">
        <is>
          <t>أطباء</t>
        </is>
      </c>
      <c r="M17" s="183" t="inlineStr">
        <is>
          <t>أخصائي باطنة</t>
        </is>
      </c>
      <c r="N17" s="183" t="inlineStr">
        <is>
          <t>أخصائي</t>
        </is>
      </c>
      <c r="O17" s="183" t="inlineStr">
        <is>
          <t>بند الأجور</t>
        </is>
      </c>
      <c r="P17" s="183" t="inlineStr">
        <is>
          <t>منتهي الخدمة</t>
        </is>
      </c>
      <c r="Q17" s="184" t="n">
        <v>20600</v>
      </c>
      <c r="R17" s="186" t="n">
        <v>86.7</v>
      </c>
      <c r="S17" s="186" t="n">
        <v>86.7</v>
      </c>
      <c r="T17" s="183" t="inlineStr">
        <is>
          <t>نعم</t>
        </is>
      </c>
      <c r="U17" s="183" t="inlineStr">
        <is>
          <t>ماجستير</t>
        </is>
      </c>
      <c r="V17" s="183" t="inlineStr">
        <is>
          <t>نعم</t>
        </is>
      </c>
      <c r="W17" s="192" t="n">
        <v>46543</v>
      </c>
      <c r="X17" s="183" t="inlineStr">
        <is>
          <t>ساري لأكثر من 90 يوم</t>
        </is>
      </c>
      <c r="Y17" s="184" t="n">
        <v>290</v>
      </c>
      <c r="Z17" s="183" t="inlineStr">
        <is>
          <t>أخصائي باطنة</t>
        </is>
      </c>
      <c r="AA17" s="183" t="inlineStr">
        <is>
          <t>لا توجد إشارة واضحة</t>
        </is>
      </c>
      <c r="AB17" s="172" t="inlineStr">
        <is>
          <t>لا توجد ملاحظة جودة مباشرة</t>
        </is>
      </c>
      <c r="AC17" s="184" t="n">
        <v>0</v>
      </c>
      <c r="AD17" s="184" t="n">
        <v>1</v>
      </c>
      <c r="AE17" s="184" t="n">
        <v>25</v>
      </c>
    </row>
    <row r="18" ht="22" customHeight="1">
      <c r="A18" s="188" t="n">
        <v>300227</v>
      </c>
      <c r="B18" s="179" t="inlineStr">
        <is>
          <t>يزيد العطوي</t>
        </is>
      </c>
      <c r="C18" s="179" t="inlineStr">
        <is>
          <t>ذكر</t>
        </is>
      </c>
      <c r="D18" s="179" t="inlineStr">
        <is>
          <t>سعودي</t>
        </is>
      </c>
      <c r="E18" s="189" t="n">
        <v>35681</v>
      </c>
      <c r="F18" s="180" t="n">
        <v>28</v>
      </c>
      <c r="G18" s="189" t="n">
        <v>44496</v>
      </c>
      <c r="H18" s="182" t="n">
        <v>4.8</v>
      </c>
      <c r="I18" s="179" t="inlineStr">
        <is>
          <t>مستشفى الملك فهد التخصصي بتبوك</t>
        </is>
      </c>
      <c r="J18" s="179" t="inlineStr">
        <is>
          <t>مستشفى مرجعي</t>
        </is>
      </c>
      <c r="K18" s="179" t="inlineStr">
        <is>
          <t>الإدارة التنفيذية للمستشفيات</t>
        </is>
      </c>
      <c r="L18" s="179" t="inlineStr">
        <is>
          <t>الصحة المساعدة</t>
        </is>
      </c>
      <c r="M18" s="179" t="inlineStr">
        <is>
          <t>فني صيدلة</t>
        </is>
      </c>
      <c r="N18" s="179" t="inlineStr">
        <is>
          <t>فني</t>
        </is>
      </c>
      <c r="O18" s="179" t="inlineStr">
        <is>
          <t>رسمي (بند الوظائف)</t>
        </is>
      </c>
      <c r="P18" s="179" t="inlineStr">
        <is>
          <t>غير محدد</t>
        </is>
      </c>
      <c r="Q18" s="180" t="n">
        <v>7450</v>
      </c>
      <c r="R18" s="182" t="n">
        <v>89.3</v>
      </c>
      <c r="S18" s="182" t="n">
        <v>89.3</v>
      </c>
      <c r="T18" s="179" t="inlineStr">
        <is>
          <t>نعم</t>
        </is>
      </c>
      <c r="U18" s="179" t="inlineStr">
        <is>
          <t>دبلوم</t>
        </is>
      </c>
      <c r="V18" s="179" t="inlineStr">
        <is>
          <t>نعم</t>
        </is>
      </c>
      <c r="W18" s="189" t="n">
        <v>47020</v>
      </c>
      <c r="X18" s="179" t="inlineStr">
        <is>
          <t>ساري لأكثر من 90 يوم</t>
        </is>
      </c>
      <c r="Y18" s="180" t="n">
        <v>767</v>
      </c>
      <c r="Z18" s="179" t="inlineStr">
        <is>
          <t>مدير تقنية المعلومات</t>
        </is>
      </c>
      <c r="AA18" s="179" t="inlineStr">
        <is>
          <t>يحتاج مراجعة</t>
        </is>
      </c>
      <c r="AB18" s="166" t="inlineStr">
        <is>
          <t>حالة وظيفية مفقودة | تعارض وظيفي محتمل</t>
        </is>
      </c>
      <c r="AC18" s="180" t="n">
        <v>2</v>
      </c>
      <c r="AD18" s="180" t="n">
        <v>1</v>
      </c>
      <c r="AE18" s="180" t="n">
        <v>53</v>
      </c>
    </row>
    <row r="19" ht="22" customHeight="1">
      <c r="A19" s="191" t="n">
        <v>300235</v>
      </c>
      <c r="B19" s="183" t="inlineStr">
        <is>
          <t>Layla Mansour</t>
        </is>
      </c>
      <c r="C19" s="183" t="inlineStr">
        <is>
          <t>أنثى</t>
        </is>
      </c>
      <c r="D19" s="183" t="inlineStr">
        <is>
          <t>سوريا</t>
        </is>
      </c>
      <c r="E19" s="192" t="n">
        <v>25936</v>
      </c>
      <c r="F19" s="184" t="n">
        <v>55</v>
      </c>
      <c r="G19" s="192" t="n">
        <v>43025</v>
      </c>
      <c r="H19" s="186" t="n">
        <v>8.800000000000001</v>
      </c>
      <c r="I19" s="183" t="inlineStr">
        <is>
          <t>مستشفى الملك خالد المدني</t>
        </is>
      </c>
      <c r="J19" s="183" t="inlineStr">
        <is>
          <t>مستشفى عام</t>
        </is>
      </c>
      <c r="K19" s="183" t="inlineStr">
        <is>
          <t>الإدارة التنفيذية للمستشفيات</t>
        </is>
      </c>
      <c r="L19" s="183" t="inlineStr">
        <is>
          <t>الصحة المساعدة</t>
        </is>
      </c>
      <c r="M19" s="183" t="inlineStr">
        <is>
          <t>سائق إسعاف</t>
        </is>
      </c>
      <c r="N19" s="183" t="inlineStr">
        <is>
          <t>مساند</t>
        </is>
      </c>
      <c r="O19" s="183" t="inlineStr">
        <is>
          <t>بند الأجور</t>
        </is>
      </c>
      <c r="P19" s="183" t="inlineStr">
        <is>
          <t>على رأس العمل</t>
        </is>
      </c>
      <c r="Q19" s="184" t="n">
        <v>4000</v>
      </c>
      <c r="R19" s="186" t="n">
        <v>72.09999999999999</v>
      </c>
      <c r="S19" s="186" t="n">
        <v>72.09999999999999</v>
      </c>
      <c r="T19" s="183" t="inlineStr">
        <is>
          <t>نعم</t>
        </is>
      </c>
      <c r="U19" s="183" t="inlineStr">
        <is>
          <t>بكالوريوس</t>
        </is>
      </c>
      <c r="V19" s="183" t="inlineStr">
        <is>
          <t>لا ينطبق</t>
        </is>
      </c>
      <c r="W19" s="192" t="n"/>
      <c r="X19" s="183" t="inlineStr">
        <is>
          <t>لا ينطبق</t>
        </is>
      </c>
      <c r="Y19" s="184" t="n"/>
      <c r="Z19" s="183" t="inlineStr">
        <is>
          <t>سائق إسعاف</t>
        </is>
      </c>
      <c r="AA19" s="183" t="inlineStr">
        <is>
          <t>لا توجد إشارة واضحة</t>
        </is>
      </c>
      <c r="AB19" s="172" t="inlineStr">
        <is>
          <t>لا توجد ملاحظة جودة مباشرة</t>
        </is>
      </c>
      <c r="AC19" s="184" t="n">
        <v>0</v>
      </c>
      <c r="AD19" s="184" t="n">
        <v>1</v>
      </c>
      <c r="AE19" s="184" t="n">
        <v>51</v>
      </c>
    </row>
    <row r="20" ht="22" customHeight="1">
      <c r="A20" s="188" t="n">
        <v>300241</v>
      </c>
      <c r="B20" s="179" t="inlineStr">
        <is>
          <t>Ahmed Fathy</t>
        </is>
      </c>
      <c r="C20" s="179" t="inlineStr">
        <is>
          <t>ذكر</t>
        </is>
      </c>
      <c r="D20" s="179" t="inlineStr">
        <is>
          <t>مصر</t>
        </is>
      </c>
      <c r="E20" s="189" t="n">
        <v>27038</v>
      </c>
      <c r="F20" s="180" t="n">
        <v>52</v>
      </c>
      <c r="G20" s="189" t="n">
        <v>40304</v>
      </c>
      <c r="H20" s="182" t="n">
        <v>16.3</v>
      </c>
      <c r="I20" s="179" t="inlineStr">
        <is>
          <t>مستشفى الملك فهد التخصصي بتبوك</t>
        </is>
      </c>
      <c r="J20" s="179" t="inlineStr">
        <is>
          <t>مستشفى مرجعي</t>
        </is>
      </c>
      <c r="K20" s="179" t="inlineStr">
        <is>
          <t>الإدارة التنفيذية للمستشفيات</t>
        </is>
      </c>
      <c r="L20" s="179" t="inlineStr">
        <is>
          <t>تمريض</t>
        </is>
      </c>
      <c r="M20" s="179" t="inlineStr">
        <is>
          <t>أخصائي تمريض عناية مركزة</t>
        </is>
      </c>
      <c r="N20" s="179" t="inlineStr">
        <is>
          <t>أخصائي تمريض</t>
        </is>
      </c>
      <c r="O20" s="179" t="inlineStr">
        <is>
          <t>رسمي (بند الوظائف)</t>
        </is>
      </c>
      <c r="P20" s="179" t="inlineStr">
        <is>
          <t>منتهي الخدمة</t>
        </is>
      </c>
      <c r="Q20" s="180" t="n">
        <v>8550</v>
      </c>
      <c r="R20" s="182" t="n">
        <v>80.5</v>
      </c>
      <c r="S20" s="182" t="n">
        <v>80.5</v>
      </c>
      <c r="T20" s="179" t="inlineStr">
        <is>
          <t>نعم</t>
        </is>
      </c>
      <c r="U20" s="179" t="inlineStr">
        <is>
          <t>بكالوريوس</t>
        </is>
      </c>
      <c r="V20" s="179" t="inlineStr">
        <is>
          <t>نعم</t>
        </is>
      </c>
      <c r="W20" s="189" t="n">
        <v>46711</v>
      </c>
      <c r="X20" s="179" t="inlineStr">
        <is>
          <t>ساري لأكثر من 90 يوم</t>
        </is>
      </c>
      <c r="Y20" s="180" t="n">
        <v>458</v>
      </c>
      <c r="Z20" s="179" t="inlineStr">
        <is>
          <t>أخصائي تمريض - العناية المركزة</t>
        </is>
      </c>
      <c r="AA20" s="179" t="inlineStr">
        <is>
          <t>لا توجد إشارة واضحة</t>
        </is>
      </c>
      <c r="AB20" s="166" t="inlineStr">
        <is>
          <t>لا توجد ملاحظة جودة مباشرة</t>
        </is>
      </c>
      <c r="AC20" s="180" t="n">
        <v>0</v>
      </c>
      <c r="AD20" s="180" t="n">
        <v>1</v>
      </c>
      <c r="AE20" s="180" t="n">
        <v>46</v>
      </c>
    </row>
    <row r="21" ht="22" customHeight="1">
      <c r="A21" s="191" t="n">
        <v>300248</v>
      </c>
      <c r="B21" s="183" t="inlineStr">
        <is>
          <t>عمر الزهراني</t>
        </is>
      </c>
      <c r="C21" s="183" t="inlineStr">
        <is>
          <t>ذكر</t>
        </is>
      </c>
      <c r="D21" s="183" t="inlineStr">
        <is>
          <t>سعودي</t>
        </is>
      </c>
      <c r="E21" s="192" t="n">
        <v>36503</v>
      </c>
      <c r="F21" s="184" t="n">
        <v>26</v>
      </c>
      <c r="G21" s="192" t="n">
        <v>45730</v>
      </c>
      <c r="H21" s="186" t="n">
        <v>1.4</v>
      </c>
      <c r="I21" s="183" t="inlineStr">
        <is>
          <t>مستشفى الملك خالد المدني</t>
        </is>
      </c>
      <c r="J21" s="183" t="inlineStr">
        <is>
          <t>مستشفى عام</t>
        </is>
      </c>
      <c r="K21" s="183" t="inlineStr">
        <is>
          <t>الإدارة التنفيذية للمستشفيات</t>
        </is>
      </c>
      <c r="L21" s="183" t="inlineStr">
        <is>
          <t>الإدارية</t>
        </is>
      </c>
      <c r="M21" s="183" t="inlineStr">
        <is>
          <t>أخصائي جودة</t>
        </is>
      </c>
      <c r="N21" s="183" t="inlineStr">
        <is>
          <t>إداري</t>
        </is>
      </c>
      <c r="O21" s="183" t="inlineStr">
        <is>
          <t>رسمي (بند الوظائف)</t>
        </is>
      </c>
      <c r="P21" s="183" t="inlineStr">
        <is>
          <t>على رأس العمل</t>
        </is>
      </c>
      <c r="Q21" s="184" t="n">
        <v>8600</v>
      </c>
      <c r="R21" s="186" t="n">
        <v>83.3</v>
      </c>
      <c r="S21" s="186" t="n">
        <v>83.3</v>
      </c>
      <c r="T21" s="183" t="inlineStr">
        <is>
          <t>نعم</t>
        </is>
      </c>
      <c r="U21" s="183" t="inlineStr">
        <is>
          <t>دبلوم</t>
        </is>
      </c>
      <c r="V21" s="183" t="inlineStr">
        <is>
          <t>لا ينطبق</t>
        </is>
      </c>
      <c r="W21" s="192" t="n"/>
      <c r="X21" s="183" t="inlineStr">
        <is>
          <t>لا ينطبق</t>
        </is>
      </c>
      <c r="Y21" s="184" t="n"/>
      <c r="Z21" s="183" t="inlineStr">
        <is>
          <t>أخصائي جودة</t>
        </is>
      </c>
      <c r="AA21" s="183" t="inlineStr">
        <is>
          <t>لا توجد إشارة واضحة</t>
        </is>
      </c>
      <c r="AB21" s="172" t="inlineStr">
        <is>
          <t>لا توجد ملاحظة جودة مباشرة</t>
        </is>
      </c>
      <c r="AC21" s="184" t="n">
        <v>0</v>
      </c>
      <c r="AD21" s="184" t="n">
        <v>1</v>
      </c>
      <c r="AE21" s="184" t="n">
        <v>6</v>
      </c>
    </row>
    <row r="22" ht="22" customHeight="1">
      <c r="A22" s="188" t="n">
        <v>300252</v>
      </c>
      <c r="B22" s="179" t="inlineStr">
        <is>
          <t>Joseph Cruz</t>
        </is>
      </c>
      <c r="C22" s="179" t="inlineStr">
        <is>
          <t>ذكر</t>
        </is>
      </c>
      <c r="D22" s="179" t="inlineStr">
        <is>
          <t>الفلبين</t>
        </is>
      </c>
      <c r="E22" s="189" t="n">
        <v>24352</v>
      </c>
      <c r="F22" s="180" t="n">
        <v>59</v>
      </c>
      <c r="G22" s="189" t="n">
        <v>40570</v>
      </c>
      <c r="H22" s="182" t="n">
        <v>15.6</v>
      </c>
      <c r="I22" s="179" t="inlineStr">
        <is>
          <t>مستشفى ضباء العام</t>
        </is>
      </c>
      <c r="J22" s="179" t="inlineStr">
        <is>
          <t>مستشفى عام</t>
        </is>
      </c>
      <c r="K22" s="179" t="inlineStr">
        <is>
          <t>الإدارة التنفيذية للمستشفيات</t>
        </is>
      </c>
      <c r="L22" s="179" t="inlineStr">
        <is>
          <t>تمريض</t>
        </is>
      </c>
      <c r="M22" s="179" t="inlineStr">
        <is>
          <t>فني تمريض</t>
        </is>
      </c>
      <c r="N22" s="179" t="inlineStr">
        <is>
          <t>فني تمريض</t>
        </is>
      </c>
      <c r="O22" s="179" t="inlineStr">
        <is>
          <t>تشغيل ذاتي</t>
        </is>
      </c>
      <c r="P22" s="179" t="inlineStr">
        <is>
          <t>على رأس العمل</t>
        </is>
      </c>
      <c r="Q22" s="180" t="n">
        <v>13950</v>
      </c>
      <c r="R22" s="182" t="n">
        <v>80.59999999999999</v>
      </c>
      <c r="S22" s="182" t="n">
        <v>80.59999999999999</v>
      </c>
      <c r="T22" s="179" t="inlineStr">
        <is>
          <t>نعم</t>
        </is>
      </c>
      <c r="U22" s="179" t="inlineStr">
        <is>
          <t>دبلوم</t>
        </is>
      </c>
      <c r="V22" s="179" t="inlineStr">
        <is>
          <t>نعم</t>
        </is>
      </c>
      <c r="W22" s="189" t="n">
        <v>45688</v>
      </c>
      <c r="X22" s="179" t="inlineStr">
        <is>
          <t>منتهي</t>
        </is>
      </c>
      <c r="Y22" s="180" t="n">
        <v>-565</v>
      </c>
      <c r="Z22" s="179" t="inlineStr">
        <is>
          <t>فني تمريض - أقسام داخلية</t>
        </is>
      </c>
      <c r="AA22" s="179" t="inlineStr">
        <is>
          <t>لا توجد إشارة واضحة</t>
        </is>
      </c>
      <c r="AB22" s="166" t="inlineStr">
        <is>
          <t>لا توجد ملاحظة جودة مباشرة</t>
        </is>
      </c>
      <c r="AC22" s="180" t="n">
        <v>0</v>
      </c>
      <c r="AD22" s="180" t="n">
        <v>1</v>
      </c>
      <c r="AE22" s="180" t="n">
        <v>37</v>
      </c>
    </row>
    <row r="23" ht="22" customHeight="1">
      <c r="A23" s="191" t="n">
        <v>300257</v>
      </c>
      <c r="B23" s="183" t="inlineStr">
        <is>
          <t>محمد القحطاني</t>
        </is>
      </c>
      <c r="C23" s="183" t="inlineStr">
        <is>
          <t>ذكر</t>
        </is>
      </c>
      <c r="D23" s="183" t="inlineStr">
        <is>
          <t>سعودي</t>
        </is>
      </c>
      <c r="E23" s="192" t="n">
        <v>30545</v>
      </c>
      <c r="F23" s="184" t="n">
        <v>43</v>
      </c>
      <c r="G23" s="192" t="n">
        <v>43658</v>
      </c>
      <c r="H23" s="186" t="n">
        <v>7.1</v>
      </c>
      <c r="I23" s="183" t="inlineStr">
        <is>
          <t>مستشفى ضباء العام</t>
        </is>
      </c>
      <c r="J23" s="183" t="inlineStr">
        <is>
          <t>مستشفى عام</t>
        </is>
      </c>
      <c r="K23" s="183" t="inlineStr">
        <is>
          <t>الإدارة التنفيذية للمستشفيات</t>
        </is>
      </c>
      <c r="L23" s="183" t="inlineStr">
        <is>
          <t>أطباء</t>
        </is>
      </c>
      <c r="M23" s="183" t="inlineStr">
        <is>
          <t>طبيب عام</t>
        </is>
      </c>
      <c r="N23" s="183" t="inlineStr">
        <is>
          <t>طبيب مقيم</t>
        </is>
      </c>
      <c r="O23" s="183" t="inlineStr">
        <is>
          <t>رسمي (بند الوظائف)</t>
        </is>
      </c>
      <c r="P23" s="183" t="inlineStr">
        <is>
          <t>على رأس العمل</t>
        </is>
      </c>
      <c r="Q23" s="184" t="n">
        <v>31350</v>
      </c>
      <c r="R23" s="186" t="n">
        <v>78</v>
      </c>
      <c r="S23" s="186" t="n">
        <v>78</v>
      </c>
      <c r="T23" s="183" t="inlineStr">
        <is>
          <t>نعم</t>
        </is>
      </c>
      <c r="U23" s="183" t="inlineStr">
        <is>
          <t>دبلوم</t>
        </is>
      </c>
      <c r="V23" s="183" t="inlineStr">
        <is>
          <t>نعم</t>
        </is>
      </c>
      <c r="W23" s="192" t="n">
        <v>46061</v>
      </c>
      <c r="X23" s="183" t="inlineStr">
        <is>
          <t>منتهي</t>
        </is>
      </c>
      <c r="Y23" s="184" t="n">
        <v>-192</v>
      </c>
      <c r="Z23" s="183" t="inlineStr">
        <is>
          <t>طبيب عام - عيادات خارجية</t>
        </is>
      </c>
      <c r="AA23" s="183" t="inlineStr">
        <is>
          <t>لا توجد إشارة واضحة</t>
        </is>
      </c>
      <c r="AB23" s="172" t="inlineStr">
        <is>
          <t>لا توجد ملاحظة جودة مباشرة</t>
        </is>
      </c>
      <c r="AC23" s="184" t="n">
        <v>0</v>
      </c>
      <c r="AD23" s="184" t="n">
        <v>1</v>
      </c>
      <c r="AE23" s="184" t="n">
        <v>2</v>
      </c>
    </row>
    <row r="24" ht="22" customHeight="1">
      <c r="A24" s="188" t="n">
        <v>300267</v>
      </c>
      <c r="B24" s="179" t="inlineStr">
        <is>
          <t>غادة القحطاني</t>
        </is>
      </c>
      <c r="C24" s="179" t="inlineStr">
        <is>
          <t>أنثى</t>
        </is>
      </c>
      <c r="D24" s="179" t="inlineStr">
        <is>
          <t>سعودي</t>
        </is>
      </c>
      <c r="E24" s="189" t="n">
        <v>35723</v>
      </c>
      <c r="F24" s="180" t="n">
        <v>28</v>
      </c>
      <c r="G24" s="189" t="n">
        <v>45297</v>
      </c>
      <c r="H24" s="182" t="n">
        <v>2.6</v>
      </c>
      <c r="I24" s="179" t="inlineStr">
        <is>
          <t>مستشفى الملك خالد المدني</t>
        </is>
      </c>
      <c r="J24" s="179" t="inlineStr">
        <is>
          <t>مستشفى عام</t>
        </is>
      </c>
      <c r="K24" s="179" t="inlineStr">
        <is>
          <t>الإدارة التنفيذية للمستشفيات</t>
        </is>
      </c>
      <c r="L24" s="179" t="inlineStr">
        <is>
          <t>أطباء</t>
        </is>
      </c>
      <c r="M24" s="179" t="inlineStr">
        <is>
          <t>طبيب مقيم</t>
        </is>
      </c>
      <c r="N24" s="179" t="inlineStr">
        <is>
          <t>طبيب مقيم</t>
        </is>
      </c>
      <c r="O24" s="179" t="inlineStr">
        <is>
          <t>رسمي (بند الوظائف)</t>
        </is>
      </c>
      <c r="P24" s="179" t="inlineStr">
        <is>
          <t>غير محدد</t>
        </is>
      </c>
      <c r="Q24" s="180" t="n">
        <v>18350</v>
      </c>
      <c r="R24" s="182" t="n">
        <v>88.40000000000001</v>
      </c>
      <c r="S24" s="182" t="n">
        <v>88.40000000000001</v>
      </c>
      <c r="T24" s="179" t="inlineStr">
        <is>
          <t>نعم</t>
        </is>
      </c>
      <c r="U24" s="179" t="inlineStr">
        <is>
          <t>بكالوريوس</t>
        </is>
      </c>
      <c r="V24" s="179" t="inlineStr">
        <is>
          <t>نعم</t>
        </is>
      </c>
      <c r="W24" s="189" t="n">
        <v>46464</v>
      </c>
      <c r="X24" s="179" t="inlineStr">
        <is>
          <t>ساري لأكثر من 90 يوم</t>
        </is>
      </c>
      <c r="Y24" s="180" t="n">
        <v>211</v>
      </c>
      <c r="Z24" s="179" t="inlineStr">
        <is>
          <t>طبيب مقيم - طوارئ</t>
        </is>
      </c>
      <c r="AA24" s="179" t="inlineStr">
        <is>
          <t>لا توجد إشارة واضحة</t>
        </is>
      </c>
      <c r="AB24" s="166" t="inlineStr">
        <is>
          <t>حالة وظيفية مفقودة</t>
        </is>
      </c>
      <c r="AC24" s="180" t="n">
        <v>1</v>
      </c>
      <c r="AD24" s="180" t="n">
        <v>1</v>
      </c>
      <c r="AE24" s="180" t="n">
        <v>16</v>
      </c>
    </row>
    <row r="25" ht="22" customHeight="1">
      <c r="A25" s="191" t="n">
        <v>300279</v>
      </c>
      <c r="B25" s="183" t="inlineStr">
        <is>
          <t>Hassan Ali</t>
        </is>
      </c>
      <c r="C25" s="183" t="inlineStr">
        <is>
          <t>ذكر</t>
        </is>
      </c>
      <c r="D25" s="183" t="inlineStr">
        <is>
          <t>السودان</t>
        </is>
      </c>
      <c r="E25" s="192" t="n">
        <v>40606</v>
      </c>
      <c r="F25" s="184" t="n">
        <v>15</v>
      </c>
      <c r="G25" s="192" t="n">
        <v>41651</v>
      </c>
      <c r="H25" s="186" t="n">
        <v>12.6</v>
      </c>
      <c r="I25" s="183" t="inlineStr">
        <is>
          <t>مستشفى الملك خالد المدني</t>
        </is>
      </c>
      <c r="J25" s="183" t="inlineStr">
        <is>
          <t>مستشفى عام</t>
        </is>
      </c>
      <c r="K25" s="183" t="inlineStr">
        <is>
          <t>الإدارة التنفيذية للمستشفيات</t>
        </is>
      </c>
      <c r="L25" s="183" t="inlineStr">
        <is>
          <t>تمريض</t>
        </is>
      </c>
      <c r="M25" s="183" t="inlineStr">
        <is>
          <t>فني تمريض عمليات</t>
        </is>
      </c>
      <c r="N25" s="183" t="inlineStr">
        <is>
          <t>فني تمريض</t>
        </is>
      </c>
      <c r="O25" s="183" t="inlineStr">
        <is>
          <t>عقود تشغيل</t>
        </is>
      </c>
      <c r="P25" s="183" t="inlineStr">
        <is>
          <t>على رأس العمل</t>
        </is>
      </c>
      <c r="Q25" s="184" t="n">
        <v>9150</v>
      </c>
      <c r="R25" s="186" t="n">
        <v>73</v>
      </c>
      <c r="S25" s="186" t="n">
        <v>73</v>
      </c>
      <c r="T25" s="183" t="inlineStr">
        <is>
          <t>نعم</t>
        </is>
      </c>
      <c r="U25" s="183" t="inlineStr">
        <is>
          <t>دبلوم</t>
        </is>
      </c>
      <c r="V25" s="183" t="inlineStr">
        <is>
          <t>نعم</t>
        </is>
      </c>
      <c r="W25" s="192" t="n">
        <v>46275</v>
      </c>
      <c r="X25" s="183" t="inlineStr">
        <is>
          <t>ينتهي خلال 90 يوم</t>
        </is>
      </c>
      <c r="Y25" s="184" t="n">
        <v>22</v>
      </c>
      <c r="Z25" s="183" t="inlineStr">
        <is>
          <t>فني تمريض - غرف العمليات</t>
        </is>
      </c>
      <c r="AA25" s="183" t="inlineStr">
        <is>
          <t>لا توجد إشارة واضحة</t>
        </is>
      </c>
      <c r="AB25" s="172" t="inlineStr">
        <is>
          <t>تاريخ ميلاد/تعيين غير منطقي</t>
        </is>
      </c>
      <c r="AC25" s="184" t="n">
        <v>1</v>
      </c>
      <c r="AD25" s="184" t="n">
        <v>1</v>
      </c>
      <c r="AE25" s="184" t="n">
        <v>9</v>
      </c>
    </row>
    <row r="26" ht="22" customHeight="1">
      <c r="A26" s="188" t="n">
        <v>300286</v>
      </c>
      <c r="B26" s="179" t="inlineStr">
        <is>
          <t>دانة الحويطي</t>
        </is>
      </c>
      <c r="C26" s="179" t="inlineStr">
        <is>
          <t>أنثى</t>
        </is>
      </c>
      <c r="D26" s="179" t="inlineStr">
        <is>
          <t>سعودي</t>
        </is>
      </c>
      <c r="E26" s="189" t="n">
        <v>35264</v>
      </c>
      <c r="F26" s="180" t="n">
        <v>30</v>
      </c>
      <c r="G26" s="189" t="n">
        <v>44991</v>
      </c>
      <c r="H26" s="182" t="n">
        <v>3.5</v>
      </c>
      <c r="I26" s="179" t="inlineStr">
        <is>
          <t>مستشفى الملك فهد التخصصي بتبوك</t>
        </is>
      </c>
      <c r="J26" s="179" t="inlineStr">
        <is>
          <t>مستشفى مرجعي</t>
        </is>
      </c>
      <c r="K26" s="179" t="inlineStr">
        <is>
          <t>الإدارة التنفيذية للمستشفيات</t>
        </is>
      </c>
      <c r="L26" s="179" t="inlineStr">
        <is>
          <t>الإدارية</t>
        </is>
      </c>
      <c r="M26" s="179" t="inlineStr">
        <is>
          <t>أخصائي موارد بشرية</t>
        </is>
      </c>
      <c r="N26" s="179" t="inlineStr">
        <is>
          <t>إداري</t>
        </is>
      </c>
      <c r="O26" s="179" t="inlineStr">
        <is>
          <t>رسمي (بند الوظائف)</t>
        </is>
      </c>
      <c r="P26" s="179" t="inlineStr">
        <is>
          <t>على رأس العمل</t>
        </is>
      </c>
      <c r="Q26" s="180" t="n">
        <v>14300</v>
      </c>
      <c r="R26" s="182" t="n">
        <v>92.7</v>
      </c>
      <c r="S26" s="182" t="n">
        <v>92.7</v>
      </c>
      <c r="T26" s="179" t="inlineStr">
        <is>
          <t>نعم</t>
        </is>
      </c>
      <c r="U26" s="179" t="inlineStr">
        <is>
          <t>دبلوم</t>
        </is>
      </c>
      <c r="V26" s="179" t="inlineStr">
        <is>
          <t>لا ينطبق</t>
        </is>
      </c>
      <c r="W26" s="189" t="n"/>
      <c r="X26" s="179" t="inlineStr">
        <is>
          <t>لا ينطبق</t>
        </is>
      </c>
      <c r="Y26" s="180" t="n"/>
      <c r="Z26" s="179" t="inlineStr">
        <is>
          <t>أخصائي موارد بشرية</t>
        </is>
      </c>
      <c r="AA26" s="179" t="inlineStr">
        <is>
          <t>لا توجد إشارة واضحة</t>
        </is>
      </c>
      <c r="AB26" s="166" t="inlineStr">
        <is>
          <t>لا توجد ملاحظة جودة مباشرة</t>
        </is>
      </c>
      <c r="AC26" s="180" t="n">
        <v>0</v>
      </c>
      <c r="AD26" s="180" t="n">
        <v>1</v>
      </c>
      <c r="AE26" s="180" t="n">
        <v>45</v>
      </c>
    </row>
    <row r="27" ht="22" customHeight="1">
      <c r="A27" s="191" t="n">
        <v>300294</v>
      </c>
      <c r="B27" s="183" t="inlineStr">
        <is>
          <t>Hassan Ali</t>
        </is>
      </c>
      <c r="C27" s="183" t="inlineStr">
        <is>
          <t>ذكر</t>
        </is>
      </c>
      <c r="D27" s="183" t="inlineStr">
        <is>
          <t>السودان</t>
        </is>
      </c>
      <c r="E27" s="192" t="n">
        <v>33027</v>
      </c>
      <c r="F27" s="184" t="n">
        <v>36</v>
      </c>
      <c r="G27" s="192" t="n">
        <v>42352</v>
      </c>
      <c r="H27" s="186" t="n">
        <v>10.7</v>
      </c>
      <c r="I27" s="183" t="inlineStr">
        <is>
          <t>مستشفى الملك فهد التخصصي بتبوك</t>
        </is>
      </c>
      <c r="J27" s="183" t="inlineStr">
        <is>
          <t>مستشفى مرجعي</t>
        </is>
      </c>
      <c r="K27" s="183" t="inlineStr">
        <is>
          <t>الإدارة التنفيذية للمستشفيات</t>
        </is>
      </c>
      <c r="L27" s="183" t="inlineStr">
        <is>
          <t>تمريض</t>
        </is>
      </c>
      <c r="M27" s="183" t="inlineStr">
        <is>
          <t>أخصائي تمريض</t>
        </is>
      </c>
      <c r="N27" s="183" t="inlineStr">
        <is>
          <t>أخصائي تمريض</t>
        </is>
      </c>
      <c r="O27" s="183" t="inlineStr">
        <is>
          <t>عقود تشغيل</t>
        </is>
      </c>
      <c r="P27" s="183" t="inlineStr">
        <is>
          <t>على رأس العمل</t>
        </is>
      </c>
      <c r="Q27" s="184" t="n">
        <v>12150</v>
      </c>
      <c r="R27" s="186" t="n">
        <v>84.5</v>
      </c>
      <c r="S27" s="186" t="n">
        <v>84.5</v>
      </c>
      <c r="T27" s="183" t="inlineStr">
        <is>
          <t>نعم</t>
        </is>
      </c>
      <c r="U27" s="183" t="inlineStr">
        <is>
          <t>ماجستير</t>
        </is>
      </c>
      <c r="V27" s="183" t="inlineStr">
        <is>
          <t>نعم</t>
        </is>
      </c>
      <c r="W27" s="192" t="n">
        <v>46531</v>
      </c>
      <c r="X27" s="183" t="inlineStr">
        <is>
          <t>ساري لأكثر من 90 يوم</t>
        </is>
      </c>
      <c r="Y27" s="184" t="n">
        <v>278</v>
      </c>
      <c r="Z27" s="183" t="inlineStr">
        <is>
          <t>أخصائي تمريض - أقسام داخلية</t>
        </is>
      </c>
      <c r="AA27" s="183" t="inlineStr">
        <is>
          <t>لا توجد إشارة واضحة</t>
        </is>
      </c>
      <c r="AB27" s="172" t="inlineStr">
        <is>
          <t>لا توجد ملاحظة جودة مباشرة</t>
        </is>
      </c>
      <c r="AC27" s="184" t="n">
        <v>0</v>
      </c>
      <c r="AD27" s="184" t="n">
        <v>1</v>
      </c>
      <c r="AE27" s="184" t="n">
        <v>54</v>
      </c>
    </row>
    <row r="28" ht="22" customHeight="1">
      <c r="A28" s="188" t="n">
        <v>300304</v>
      </c>
      <c r="B28" s="179" t="inlineStr">
        <is>
          <t>ناصر الحويطي</t>
        </is>
      </c>
      <c r="C28" s="179" t="inlineStr">
        <is>
          <t>ذكر</t>
        </is>
      </c>
      <c r="D28" s="179" t="inlineStr">
        <is>
          <t>سعودي</t>
        </is>
      </c>
      <c r="E28" s="189" t="n">
        <v>35858</v>
      </c>
      <c r="F28" s="180" t="n">
        <v>28</v>
      </c>
      <c r="G28" s="189" t="n">
        <v>44711</v>
      </c>
      <c r="H28" s="182" t="n">
        <v>4.2</v>
      </c>
      <c r="I28" s="179" t="inlineStr">
        <is>
          <t>مستشفى ضباء العام</t>
        </is>
      </c>
      <c r="J28" s="179" t="inlineStr">
        <is>
          <t>مستشفى عام</t>
        </is>
      </c>
      <c r="K28" s="179" t="inlineStr">
        <is>
          <t>الإدارة التنفيذية للمستشفيات</t>
        </is>
      </c>
      <c r="L28" s="179" t="inlineStr">
        <is>
          <t>الصحة المساعدة</t>
        </is>
      </c>
      <c r="M28" s="179" t="inlineStr">
        <is>
          <t>فني صيدلة</t>
        </is>
      </c>
      <c r="N28" s="179" t="inlineStr">
        <is>
          <t>فني</t>
        </is>
      </c>
      <c r="O28" s="179" t="inlineStr">
        <is>
          <t>رسمي (بند الوظائف)</t>
        </is>
      </c>
      <c r="P28" s="179" t="inlineStr">
        <is>
          <t>غير محدد</t>
        </is>
      </c>
      <c r="Q28" s="180" t="n">
        <v>7900</v>
      </c>
      <c r="R28" s="182" t="n">
        <v>93.09999999999999</v>
      </c>
      <c r="S28" s="182" t="n">
        <v>93.09999999999999</v>
      </c>
      <c r="T28" s="179" t="inlineStr">
        <is>
          <t>نعم</t>
        </is>
      </c>
      <c r="U28" s="179" t="inlineStr">
        <is>
          <t>دبلوم</t>
        </is>
      </c>
      <c r="V28" s="179" t="inlineStr">
        <is>
          <t>نعم</t>
        </is>
      </c>
      <c r="W28" s="189" t="n">
        <v>45870</v>
      </c>
      <c r="X28" s="179" t="inlineStr">
        <is>
          <t>منتهي</t>
        </is>
      </c>
      <c r="Y28" s="180" t="n">
        <v>-383</v>
      </c>
      <c r="Z28" s="179" t="inlineStr">
        <is>
          <t>فني صيدلة</t>
        </is>
      </c>
      <c r="AA28" s="179" t="inlineStr">
        <is>
          <t>لا توجد إشارة واضحة</t>
        </is>
      </c>
      <c r="AB28" s="166" t="inlineStr">
        <is>
          <t>حالة وظيفية مفقودة</t>
        </is>
      </c>
      <c r="AC28" s="180" t="n">
        <v>1</v>
      </c>
      <c r="AD28" s="180" t="n">
        <v>1</v>
      </c>
      <c r="AE28" s="180" t="n">
        <v>27</v>
      </c>
    </row>
    <row r="29" ht="22" customHeight="1">
      <c r="A29" s="191" t="n">
        <v>300312</v>
      </c>
      <c r="B29" s="183" t="inlineStr">
        <is>
          <t>أروى المطيري</t>
        </is>
      </c>
      <c r="C29" s="183" t="inlineStr">
        <is>
          <t>أنثى</t>
        </is>
      </c>
      <c r="D29" s="183" t="inlineStr">
        <is>
          <t>سعودي</t>
        </is>
      </c>
      <c r="E29" s="192" t="n">
        <v>30883</v>
      </c>
      <c r="F29" s="184" t="n">
        <v>42</v>
      </c>
      <c r="G29" s="192" t="n">
        <v>41873</v>
      </c>
      <c r="H29" s="186" t="n">
        <v>12</v>
      </c>
      <c r="I29" s="183" t="inlineStr">
        <is>
          <t>مستشفى الملك خالد المدني</t>
        </is>
      </c>
      <c r="J29" s="183" t="inlineStr">
        <is>
          <t>مستشفى عام</t>
        </is>
      </c>
      <c r="K29" s="183" t="inlineStr">
        <is>
          <t>الإدارة التنفيذية للمستشفيات</t>
        </is>
      </c>
      <c r="L29" s="183" t="inlineStr">
        <is>
          <t>تمريض</t>
        </is>
      </c>
      <c r="M29" s="183" t="inlineStr">
        <is>
          <t>فني تمريض</t>
        </is>
      </c>
      <c r="N29" s="183" t="inlineStr">
        <is>
          <t>فني تمريض</t>
        </is>
      </c>
      <c r="O29" s="183" t="inlineStr">
        <is>
          <t>رسمي (بند الوظائف)</t>
        </is>
      </c>
      <c r="P29" s="183" t="inlineStr">
        <is>
          <t>غير محدد</t>
        </is>
      </c>
      <c r="Q29" s="184" t="n">
        <v>11250</v>
      </c>
      <c r="R29" s="186" t="n">
        <v>83.5</v>
      </c>
      <c r="S29" s="186" t="n">
        <v>83.5</v>
      </c>
      <c r="T29" s="183" t="inlineStr">
        <is>
          <t>نعم</t>
        </is>
      </c>
      <c r="U29" s="183" t="inlineStr">
        <is>
          <t>ماجستير</t>
        </is>
      </c>
      <c r="V29" s="183" t="inlineStr">
        <is>
          <t>نعم</t>
        </is>
      </c>
      <c r="W29" s="192" t="n">
        <v>46117</v>
      </c>
      <c r="X29" s="183" t="inlineStr">
        <is>
          <t>منتهي</t>
        </is>
      </c>
      <c r="Y29" s="184" t="n">
        <v>-136</v>
      </c>
      <c r="Z29" s="183" t="inlineStr">
        <is>
          <t>فني تمريض - أقسام داخلية</t>
        </is>
      </c>
      <c r="AA29" s="183" t="inlineStr">
        <is>
          <t>لا توجد إشارة واضحة</t>
        </is>
      </c>
      <c r="AB29" s="172" t="inlineStr">
        <is>
          <t>حالة وظيفية مفقودة</t>
        </is>
      </c>
      <c r="AC29" s="184" t="n">
        <v>1</v>
      </c>
      <c r="AD29" s="184" t="n">
        <v>1</v>
      </c>
      <c r="AE29" s="184" t="n">
        <v>52</v>
      </c>
    </row>
    <row r="30" ht="22" customHeight="1">
      <c r="A30" s="188" t="n">
        <v>300317</v>
      </c>
      <c r="B30" s="179" t="inlineStr">
        <is>
          <t>دانة الحربي</t>
        </is>
      </c>
      <c r="C30" s="179" t="inlineStr">
        <is>
          <t>أنثى</t>
        </is>
      </c>
      <c r="D30" s="179" t="inlineStr">
        <is>
          <t>سعودي</t>
        </is>
      </c>
      <c r="E30" s="189" t="n">
        <v>28829</v>
      </c>
      <c r="F30" s="180" t="n">
        <v>47</v>
      </c>
      <c r="G30" s="189" t="n">
        <v>44323</v>
      </c>
      <c r="H30" s="182" t="n">
        <v>5.3</v>
      </c>
      <c r="I30" s="179" t="inlineStr">
        <is>
          <t>مستشفى الملك خالد المدني</t>
        </is>
      </c>
      <c r="J30" s="179" t="inlineStr">
        <is>
          <t>مستشفى عام</t>
        </is>
      </c>
      <c r="K30" s="179" t="inlineStr">
        <is>
          <t>الإدارة التنفيذية للمستشفيات</t>
        </is>
      </c>
      <c r="L30" s="179" t="inlineStr">
        <is>
          <t>الصحة المساعدة</t>
        </is>
      </c>
      <c r="M30" s="179" t="inlineStr">
        <is>
          <t>فني صيانة</t>
        </is>
      </c>
      <c r="N30" s="179" t="inlineStr">
        <is>
          <t>مساند</t>
        </is>
      </c>
      <c r="O30" s="179" t="inlineStr">
        <is>
          <t>رسمي (بند الوظائف)</t>
        </is>
      </c>
      <c r="P30" s="179" t="inlineStr">
        <is>
          <t>على رأس العمل</t>
        </is>
      </c>
      <c r="Q30" s="180" t="n">
        <v>6700</v>
      </c>
      <c r="R30" s="182" t="n">
        <v>69.3</v>
      </c>
      <c r="S30" s="182" t="n">
        <v>69.3</v>
      </c>
      <c r="T30" s="179" t="inlineStr">
        <is>
          <t>نعم</t>
        </is>
      </c>
      <c r="U30" s="179" t="inlineStr">
        <is>
          <t>ماجستير</t>
        </is>
      </c>
      <c r="V30" s="179" t="inlineStr">
        <is>
          <t>لا ينطبق</t>
        </is>
      </c>
      <c r="W30" s="189" t="n"/>
      <c r="X30" s="179" t="inlineStr">
        <is>
          <t>لا ينطبق</t>
        </is>
      </c>
      <c r="Y30" s="180" t="n"/>
      <c r="Z30" s="179" t="inlineStr">
        <is>
          <t>أخصائي أشعة - الرنين المغناطيسي</t>
        </is>
      </c>
      <c r="AA30" s="179" t="inlineStr">
        <is>
          <t>يحتاج مراجعة</t>
        </is>
      </c>
      <c r="AB30" s="166" t="inlineStr">
        <is>
          <t>تعارض وظيفي محتمل</t>
        </is>
      </c>
      <c r="AC30" s="180" t="n">
        <v>1</v>
      </c>
      <c r="AD30" s="180" t="n">
        <v>1</v>
      </c>
      <c r="AE30" s="180" t="n">
        <v>44</v>
      </c>
    </row>
    <row r="31" ht="22" customHeight="1">
      <c r="A31" s="191" t="n">
        <v>300325</v>
      </c>
      <c r="B31" s="183" t="inlineStr">
        <is>
          <t>مشعل الحويطي</t>
        </is>
      </c>
      <c r="C31" s="183" t="inlineStr">
        <is>
          <t>ذكر</t>
        </is>
      </c>
      <c r="D31" s="183" t="inlineStr">
        <is>
          <t>سعودي</t>
        </is>
      </c>
      <c r="E31" s="192" t="n">
        <v>34476</v>
      </c>
      <c r="F31" s="184" t="n">
        <v>32</v>
      </c>
      <c r="G31" s="192" t="n">
        <v>44008</v>
      </c>
      <c r="H31" s="186" t="n">
        <v>6.1</v>
      </c>
      <c r="I31" s="183" t="inlineStr">
        <is>
          <t>مستشفى الملك فهد التخصصي بتبوك</t>
        </is>
      </c>
      <c r="J31" s="183" t="inlineStr">
        <is>
          <t>مستشفى مرجعي</t>
        </is>
      </c>
      <c r="K31" s="183" t="inlineStr">
        <is>
          <t>الإدارة التنفيذية للمستشفيات</t>
        </is>
      </c>
      <c r="L31" s="183" t="inlineStr">
        <is>
          <t>أطباء</t>
        </is>
      </c>
      <c r="M31" s="183" t="inlineStr">
        <is>
          <t>استشاري نساء وولادة</t>
        </is>
      </c>
      <c r="N31" s="183" t="inlineStr">
        <is>
          <t>استشاري</t>
        </is>
      </c>
      <c r="O31" s="183" t="inlineStr">
        <is>
          <t>رسمي (بند الوظائف)</t>
        </is>
      </c>
      <c r="P31" s="183" t="inlineStr">
        <is>
          <t>على رأس العمل</t>
        </is>
      </c>
      <c r="Q31" s="184" t="n">
        <v>43800</v>
      </c>
      <c r="R31" s="186" t="n">
        <v>77.2</v>
      </c>
      <c r="S31" s="186" t="n">
        <v>77.2</v>
      </c>
      <c r="T31" s="183" t="inlineStr">
        <is>
          <t>نعم</t>
        </is>
      </c>
      <c r="U31" s="183" t="inlineStr">
        <is>
          <t>بكالوريوس</t>
        </is>
      </c>
      <c r="V31" s="183" t="inlineStr">
        <is>
          <t>لا</t>
        </is>
      </c>
      <c r="W31" s="192" t="n"/>
      <c r="X31" s="183" t="inlineStr">
        <is>
          <t>غير مسجل</t>
        </is>
      </c>
      <c r="Y31" s="184" t="n"/>
      <c r="Z31" s="183" t="inlineStr">
        <is>
          <t>استشاري نساء وولادة</t>
        </is>
      </c>
      <c r="AA31" s="183" t="inlineStr">
        <is>
          <t>لا توجد إشارة واضحة</t>
        </is>
      </c>
      <c r="AB31" s="172" t="inlineStr">
        <is>
          <t>حالة تسجيل مهني تحتاج تحقق</t>
        </is>
      </c>
      <c r="AC31" s="184" t="n">
        <v>1</v>
      </c>
      <c r="AD31" s="184" t="n">
        <v>1</v>
      </c>
      <c r="AE31" s="184" t="n">
        <v>7</v>
      </c>
    </row>
    <row r="32" ht="22" customHeight="1">
      <c r="A32" s="188" t="n">
        <v>300335</v>
      </c>
      <c r="B32" s="179" t="inlineStr">
        <is>
          <t>Ahmed Fathy</t>
        </is>
      </c>
      <c r="C32" s="179" t="inlineStr">
        <is>
          <t>ذكر</t>
        </is>
      </c>
      <c r="D32" s="179" t="inlineStr">
        <is>
          <t>مصر</t>
        </is>
      </c>
      <c r="E32" s="189" t="n">
        <v>36427</v>
      </c>
      <c r="F32" s="180" t="n">
        <v>26</v>
      </c>
      <c r="G32" s="189" t="n">
        <v>45444</v>
      </c>
      <c r="H32" s="182" t="n">
        <v>2.2</v>
      </c>
      <c r="I32" s="179" t="inlineStr">
        <is>
          <t>مستشفى الملك خالد المدني</t>
        </is>
      </c>
      <c r="J32" s="179" t="inlineStr">
        <is>
          <t>مستشفى عام</t>
        </is>
      </c>
      <c r="K32" s="179" t="inlineStr">
        <is>
          <t>الإدارة التنفيذية للمستشفيات</t>
        </is>
      </c>
      <c r="L32" s="179" t="inlineStr">
        <is>
          <t>أطباء</t>
        </is>
      </c>
      <c r="M32" s="179" t="inlineStr">
        <is>
          <t>أخصائي طب أسرة</t>
        </is>
      </c>
      <c r="N32" s="179" t="inlineStr">
        <is>
          <t>أخصائي</t>
        </is>
      </c>
      <c r="O32" s="179" t="inlineStr">
        <is>
          <t>عقود تشغيل</t>
        </is>
      </c>
      <c r="P32" s="179" t="inlineStr">
        <is>
          <t>على رأس العمل</t>
        </is>
      </c>
      <c r="Q32" s="180" t="n">
        <v>23250</v>
      </c>
      <c r="R32" s="182" t="n">
        <v>91.7</v>
      </c>
      <c r="S32" s="182" t="n">
        <v>91.7</v>
      </c>
      <c r="T32" s="179" t="inlineStr">
        <is>
          <t>نعم</t>
        </is>
      </c>
      <c r="U32" s="179" t="inlineStr">
        <is>
          <t>بكالوريوس</t>
        </is>
      </c>
      <c r="V32" s="179" t="inlineStr">
        <is>
          <t>نعم</t>
        </is>
      </c>
      <c r="W32" s="189" t="n">
        <v>46212</v>
      </c>
      <c r="X32" s="179" t="inlineStr">
        <is>
          <t>منتهي</t>
        </is>
      </c>
      <c r="Y32" s="180" t="n">
        <v>-41</v>
      </c>
      <c r="Z32" s="179" t="inlineStr">
        <is>
          <t>أخصائي طب أسرة</t>
        </is>
      </c>
      <c r="AA32" s="179" t="inlineStr">
        <is>
          <t>لا توجد إشارة واضحة</t>
        </is>
      </c>
      <c r="AB32" s="166" t="inlineStr">
        <is>
          <t>لا توجد ملاحظة جودة مباشرة</t>
        </is>
      </c>
      <c r="AC32" s="180" t="n">
        <v>0</v>
      </c>
      <c r="AD32" s="180" t="n">
        <v>1</v>
      </c>
      <c r="AE32" s="180" t="n">
        <v>14</v>
      </c>
    </row>
    <row r="33" ht="22" customHeight="1">
      <c r="A33" s="191" t="n">
        <v>300340</v>
      </c>
      <c r="B33" s="183" t="inlineStr">
        <is>
          <t>Maria Santos</t>
        </is>
      </c>
      <c r="C33" s="183" t="inlineStr">
        <is>
          <t>أنثى</t>
        </is>
      </c>
      <c r="D33" s="183" t="inlineStr">
        <is>
          <t>الفلبين</t>
        </is>
      </c>
      <c r="E33" s="192" t="n">
        <v>30420</v>
      </c>
      <c r="F33" s="184" t="n">
        <v>43</v>
      </c>
      <c r="G33" s="192" t="n">
        <v>39169</v>
      </c>
      <c r="H33" s="186" t="n">
        <v>19.4</v>
      </c>
      <c r="I33" s="183" t="inlineStr">
        <is>
          <t>مستشفى ضباء العام</t>
        </is>
      </c>
      <c r="J33" s="183" t="inlineStr">
        <is>
          <t>مستشفى عام</t>
        </is>
      </c>
      <c r="K33" s="183" t="inlineStr">
        <is>
          <t>الإدارة التنفيذية للمستشفيات</t>
        </is>
      </c>
      <c r="L33" s="183" t="inlineStr">
        <is>
          <t>تمريض</t>
        </is>
      </c>
      <c r="M33" s="183" t="inlineStr">
        <is>
          <t>أخصائي تمريض</t>
        </is>
      </c>
      <c r="N33" s="183" t="inlineStr">
        <is>
          <t>أخصائي تمريض</t>
        </is>
      </c>
      <c r="O33" s="183" t="inlineStr">
        <is>
          <t>رسمي (بند الوظائف)</t>
        </is>
      </c>
      <c r="P33" s="183" t="inlineStr">
        <is>
          <t>على رأس العمل</t>
        </is>
      </c>
      <c r="Q33" s="184" t="n">
        <v>11450</v>
      </c>
      <c r="R33" s="186" t="n">
        <v>93.7</v>
      </c>
      <c r="S33" s="186" t="n">
        <v>93.7</v>
      </c>
      <c r="T33" s="183" t="inlineStr">
        <is>
          <t>نعم</t>
        </is>
      </c>
      <c r="U33" s="183" t="inlineStr">
        <is>
          <t>دبلوم</t>
        </is>
      </c>
      <c r="V33" s="183" t="inlineStr">
        <is>
          <t>نعم</t>
        </is>
      </c>
      <c r="W33" s="192" t="n">
        <v>46938</v>
      </c>
      <c r="X33" s="183" t="inlineStr">
        <is>
          <t>ساري لأكثر من 90 يوم</t>
        </is>
      </c>
      <c r="Y33" s="184" t="n">
        <v>685</v>
      </c>
      <c r="Z33" s="183" t="inlineStr">
        <is>
          <t>أخصائي تمريض - أقسام داخلية</t>
        </is>
      </c>
      <c r="AA33" s="183" t="inlineStr">
        <is>
          <t>لا توجد إشارة واضحة</t>
        </is>
      </c>
      <c r="AB33" s="172" t="inlineStr">
        <is>
          <t>لا توجد ملاحظة جودة مباشرة</t>
        </is>
      </c>
      <c r="AC33" s="184" t="n">
        <v>0</v>
      </c>
      <c r="AD33" s="184" t="n">
        <v>1</v>
      </c>
      <c r="AE33" s="184" t="n">
        <v>24</v>
      </c>
    </row>
    <row r="34" ht="22" customHeight="1">
      <c r="A34" s="188" t="n">
        <v>300344</v>
      </c>
      <c r="B34" s="179" t="inlineStr">
        <is>
          <t>عبدالله البلوي</t>
        </is>
      </c>
      <c r="C34" s="179" t="inlineStr">
        <is>
          <t>ذكر</t>
        </is>
      </c>
      <c r="D34" s="179" t="inlineStr">
        <is>
          <t>سعودي</t>
        </is>
      </c>
      <c r="E34" s="189" t="n">
        <v>35950</v>
      </c>
      <c r="F34" s="180" t="n">
        <v>28</v>
      </c>
      <c r="G34" s="189" t="n">
        <v>45444</v>
      </c>
      <c r="H34" s="182" t="n">
        <v>2.2</v>
      </c>
      <c r="I34" s="179" t="inlineStr">
        <is>
          <t>مستشفى ضباء العام</t>
        </is>
      </c>
      <c r="J34" s="179" t="inlineStr">
        <is>
          <t>مستشفى عام</t>
        </is>
      </c>
      <c r="K34" s="179" t="inlineStr">
        <is>
          <t>الإدارة التنفيذية للمستشفيات</t>
        </is>
      </c>
      <c r="L34" s="179" t="inlineStr">
        <is>
          <t>الصحة المساعدة</t>
        </is>
      </c>
      <c r="M34" s="179" t="inlineStr">
        <is>
          <t>أخصائي علاج طبيعي</t>
        </is>
      </c>
      <c r="N34" s="179" t="inlineStr">
        <is>
          <t>أخصائي</t>
        </is>
      </c>
      <c r="O34" s="179" t="inlineStr">
        <is>
          <t>رسمي (بند الوظائف)</t>
        </is>
      </c>
      <c r="P34" s="179" t="inlineStr">
        <is>
          <t>على رأس العمل</t>
        </is>
      </c>
      <c r="Q34" s="180" t="n">
        <v>8650</v>
      </c>
      <c r="R34" s="182" t="n">
        <v>88.3</v>
      </c>
      <c r="S34" s="182" t="n">
        <v>88.3</v>
      </c>
      <c r="T34" s="179" t="inlineStr">
        <is>
          <t>نعم</t>
        </is>
      </c>
      <c r="U34" s="179" t="inlineStr">
        <is>
          <t>بكالوريوس</t>
        </is>
      </c>
      <c r="V34" s="179" t="inlineStr">
        <is>
          <t>نعم</t>
        </is>
      </c>
      <c r="W34" s="189" t="n">
        <v>45912</v>
      </c>
      <c r="X34" s="179" t="inlineStr">
        <is>
          <t>منتهي</t>
        </is>
      </c>
      <c r="Y34" s="180" t="n">
        <v>-341</v>
      </c>
      <c r="Z34" s="179" t="inlineStr">
        <is>
          <t>أخصائي علاج طبيعي</t>
        </is>
      </c>
      <c r="AA34" s="179" t="inlineStr">
        <is>
          <t>لا توجد إشارة واضحة</t>
        </is>
      </c>
      <c r="AB34" s="166" t="inlineStr">
        <is>
          <t>لا توجد ملاحظة جودة مباشرة</t>
        </is>
      </c>
      <c r="AC34" s="180" t="n">
        <v>0</v>
      </c>
      <c r="AD34" s="180" t="n">
        <v>1</v>
      </c>
      <c r="AE34" s="180" t="n">
        <v>43</v>
      </c>
    </row>
    <row r="35" ht="22" customHeight="1">
      <c r="A35" s="191" t="n">
        <v>300351</v>
      </c>
      <c r="B35" s="183" t="inlineStr">
        <is>
          <t>ماجد القحطاني</t>
        </is>
      </c>
      <c r="C35" s="183" t="inlineStr">
        <is>
          <t>ذكر</t>
        </is>
      </c>
      <c r="D35" s="183" t="inlineStr">
        <is>
          <t>سعودي</t>
        </is>
      </c>
      <c r="E35" s="192" t="n">
        <v>14080</v>
      </c>
      <c r="F35" s="184" t="n">
        <v>88</v>
      </c>
      <c r="G35" s="192" t="n">
        <v>43923</v>
      </c>
      <c r="H35" s="186" t="n">
        <v>6.4</v>
      </c>
      <c r="I35" s="183" t="inlineStr">
        <is>
          <t>مستشفى الملك فهد التخصصي بتبوك</t>
        </is>
      </c>
      <c r="J35" s="183" t="inlineStr">
        <is>
          <t>مستشفى مرجعي</t>
        </is>
      </c>
      <c r="K35" s="183" t="inlineStr">
        <is>
          <t>الإدارة التنفيذية للمستشفيات</t>
        </is>
      </c>
      <c r="L35" s="183" t="inlineStr">
        <is>
          <t>الصحة المساعدة</t>
        </is>
      </c>
      <c r="M35" s="183" t="inlineStr">
        <is>
          <t>أخصائي صيدلة</t>
        </is>
      </c>
      <c r="N35" s="183" t="inlineStr">
        <is>
          <t>أخصائي</t>
        </is>
      </c>
      <c r="O35" s="183" t="inlineStr">
        <is>
          <t>بند الأجور</t>
        </is>
      </c>
      <c r="P35" s="183" t="inlineStr">
        <is>
          <t>على رأس العمل</t>
        </is>
      </c>
      <c r="Q35" s="184" t="n">
        <v>9800</v>
      </c>
      <c r="R35" s="186" t="n">
        <v>92.09999999999999</v>
      </c>
      <c r="S35" s="186" t="n">
        <v>92.09999999999999</v>
      </c>
      <c r="T35" s="183" t="inlineStr">
        <is>
          <t>نعم</t>
        </is>
      </c>
      <c r="U35" s="183" t="inlineStr">
        <is>
          <t>بكالوريوس</t>
        </is>
      </c>
      <c r="V35" s="183" t="inlineStr">
        <is>
          <t>نعم</t>
        </is>
      </c>
      <c r="W35" s="192" t="n">
        <v>46960</v>
      </c>
      <c r="X35" s="183" t="inlineStr">
        <is>
          <t>ساري لأكثر من 90 يوم</t>
        </is>
      </c>
      <c r="Y35" s="184" t="n">
        <v>707</v>
      </c>
      <c r="Z35" s="183" t="inlineStr">
        <is>
          <t>أخصائي صيدلة</t>
        </is>
      </c>
      <c r="AA35" s="183" t="inlineStr">
        <is>
          <t>لا توجد إشارة واضحة</t>
        </is>
      </c>
      <c r="AB35" s="172" t="inlineStr">
        <is>
          <t>تاريخ ميلاد يحتاج تحقق</t>
        </is>
      </c>
      <c r="AC35" s="184" t="n">
        <v>1</v>
      </c>
      <c r="AD35" s="184" t="n">
        <v>1</v>
      </c>
      <c r="AE35" s="184" t="n">
        <v>48</v>
      </c>
    </row>
    <row r="36" ht="22" customHeight="1">
      <c r="A36" s="188" t="n">
        <v>300363</v>
      </c>
      <c r="B36" s="179" t="inlineStr">
        <is>
          <t>بندر العنزي</t>
        </is>
      </c>
      <c r="C36" s="179" t="inlineStr">
        <is>
          <t>ذكر</t>
        </is>
      </c>
      <c r="D36" s="179" t="inlineStr">
        <is>
          <t>سعودي</t>
        </is>
      </c>
      <c r="E36" s="189" t="n">
        <v>29267</v>
      </c>
      <c r="F36" s="180" t="n">
        <v>46</v>
      </c>
      <c r="G36" s="189" t="n">
        <v>45393</v>
      </c>
      <c r="H36" s="182" t="n">
        <v>2.4</v>
      </c>
      <c r="I36" s="179" t="inlineStr">
        <is>
          <t>مركز صحي المروج</t>
        </is>
      </c>
      <c r="J36" s="179" t="inlineStr">
        <is>
          <t>مركز رعاية أولية</t>
        </is>
      </c>
      <c r="K36" s="179" t="inlineStr">
        <is>
          <t>الإدارة التنفيذية للرعاية الصحية الأولية</t>
        </is>
      </c>
      <c r="L36" s="179" t="inlineStr">
        <is>
          <t>تمريض</t>
        </is>
      </c>
      <c r="M36" s="179" t="inlineStr">
        <is>
          <t>مشرف تمريض</t>
        </is>
      </c>
      <c r="N36" s="179" t="inlineStr">
        <is>
          <t>أخصائي تمريض</t>
        </is>
      </c>
      <c r="O36" s="179" t="inlineStr">
        <is>
          <t>رسمي (بند الوظائف)</t>
        </is>
      </c>
      <c r="P36" s="179" t="inlineStr">
        <is>
          <t>غير محدد</t>
        </is>
      </c>
      <c r="Q36" s="180" t="n">
        <v>11200</v>
      </c>
      <c r="R36" s="182" t="n">
        <v>80.09999999999999</v>
      </c>
      <c r="S36" s="182" t="n">
        <v>80.09999999999999</v>
      </c>
      <c r="T36" s="179" t="inlineStr">
        <is>
          <t>نعم</t>
        </is>
      </c>
      <c r="U36" s="179" t="inlineStr">
        <is>
          <t>بكالوريوس</t>
        </is>
      </c>
      <c r="V36" s="179" t="inlineStr">
        <is>
          <t>نعم</t>
        </is>
      </c>
      <c r="W36" s="189" t="n">
        <v>46873</v>
      </c>
      <c r="X36" s="179" t="inlineStr">
        <is>
          <t>ساري لأكثر من 90 يوم</t>
        </is>
      </c>
      <c r="Y36" s="180" t="n">
        <v>620</v>
      </c>
      <c r="Z36" s="179" t="inlineStr">
        <is>
          <t>أمين مستودع</t>
        </is>
      </c>
      <c r="AA36" s="179" t="inlineStr">
        <is>
          <t>يحتاج مراجعة</t>
        </is>
      </c>
      <c r="AB36" s="166" t="inlineStr">
        <is>
          <t>حالة وظيفية مفقودة | تعارض وظيفي محتمل</t>
        </is>
      </c>
      <c r="AC36" s="180" t="n">
        <v>2</v>
      </c>
      <c r="AD36" s="180" t="n">
        <v>1</v>
      </c>
      <c r="AE36" s="180" t="n">
        <v>41</v>
      </c>
    </row>
    <row r="37" ht="22" customHeight="1">
      <c r="A37" s="191" t="n">
        <v>300375</v>
      </c>
      <c r="B37" s="183" t="inlineStr">
        <is>
          <t>عبدالله الجهني</t>
        </is>
      </c>
      <c r="C37" s="183" t="inlineStr">
        <is>
          <t>ذكر</t>
        </is>
      </c>
      <c r="D37" s="183" t="inlineStr">
        <is>
          <t>سعودي</t>
        </is>
      </c>
      <c r="E37" s="192" t="n">
        <v>28485</v>
      </c>
      <c r="F37" s="184" t="n">
        <v>48</v>
      </c>
      <c r="G37" s="192" t="n">
        <v>45415</v>
      </c>
      <c r="H37" s="186" t="n">
        <v>2.3</v>
      </c>
      <c r="I37" s="183" t="inlineStr">
        <is>
          <t>مستشفى الملك خالد المدني</t>
        </is>
      </c>
      <c r="J37" s="183" t="inlineStr">
        <is>
          <t>مستشفى عام</t>
        </is>
      </c>
      <c r="K37" s="183" t="inlineStr">
        <is>
          <t>الإدارة التنفيذية للمستشفيات</t>
        </is>
      </c>
      <c r="L37" s="183" t="inlineStr">
        <is>
          <t>تمريض</t>
        </is>
      </c>
      <c r="M37" s="183" t="inlineStr">
        <is>
          <t>فني تمريض عمليات</t>
        </is>
      </c>
      <c r="N37" s="183" t="inlineStr">
        <is>
          <t>فني تمريض</t>
        </is>
      </c>
      <c r="O37" s="183" t="inlineStr">
        <is>
          <t>رسمي (بند الوظائف)</t>
        </is>
      </c>
      <c r="P37" s="183" t="inlineStr">
        <is>
          <t>على رأس العمل</t>
        </is>
      </c>
      <c r="Q37" s="184" t="n">
        <v>0</v>
      </c>
      <c r="R37" s="186" t="n">
        <v>85.8</v>
      </c>
      <c r="S37" s="186" t="n">
        <v>85.8</v>
      </c>
      <c r="T37" s="183" t="inlineStr">
        <is>
          <t>نعم</t>
        </is>
      </c>
      <c r="U37" s="183" t="inlineStr">
        <is>
          <t>ماجستير</t>
        </is>
      </c>
      <c r="V37" s="183" t="inlineStr">
        <is>
          <t>نعم</t>
        </is>
      </c>
      <c r="W37" s="192" t="n">
        <v>46795</v>
      </c>
      <c r="X37" s="183" t="inlineStr">
        <is>
          <t>ساري لأكثر من 90 يوم</t>
        </is>
      </c>
      <c r="Y37" s="184" t="n">
        <v>542</v>
      </c>
      <c r="Z37" s="183" t="inlineStr">
        <is>
          <t>مدير الشؤون المالية</t>
        </is>
      </c>
      <c r="AA37" s="183" t="inlineStr">
        <is>
          <t>يحتاج مراجعة</t>
        </is>
      </c>
      <c r="AB37" s="172" t="inlineStr">
        <is>
          <t>راتب صفري | تعارض وظيفي محتمل</t>
        </is>
      </c>
      <c r="AC37" s="184" t="n">
        <v>2</v>
      </c>
      <c r="AD37" s="184" t="n">
        <v>1</v>
      </c>
      <c r="AE37" s="184" t="n">
        <v>13</v>
      </c>
    </row>
    <row r="38" ht="22" customHeight="1">
      <c r="A38" s="188" t="n">
        <v>300378</v>
      </c>
      <c r="B38" s="179" t="inlineStr">
        <is>
          <t>Fatima Noor</t>
        </is>
      </c>
      <c r="C38" s="179" t="inlineStr">
        <is>
          <t>أنثى</t>
        </is>
      </c>
      <c r="D38" s="179" t="inlineStr">
        <is>
          <t>باكستان</t>
        </is>
      </c>
      <c r="E38" s="189" t="n">
        <v>31406</v>
      </c>
      <c r="F38" s="180" t="n">
        <v>40</v>
      </c>
      <c r="G38" s="189" t="n">
        <v>44168</v>
      </c>
      <c r="H38" s="182" t="n">
        <v>5.7</v>
      </c>
      <c r="I38" s="179" t="inlineStr">
        <is>
          <t>مستشفى الملك خالد المدني</t>
        </is>
      </c>
      <c r="J38" s="179" t="inlineStr">
        <is>
          <t>مستشفى عام</t>
        </is>
      </c>
      <c r="K38" s="179" t="inlineStr">
        <is>
          <t>الإدارة التنفيذية للمستشفيات</t>
        </is>
      </c>
      <c r="L38" s="179" t="inlineStr">
        <is>
          <t>الخدمات المساندة</t>
        </is>
      </c>
      <c r="M38" s="179" t="inlineStr">
        <is>
          <t>سائق إسعاف</t>
        </is>
      </c>
      <c r="N38" s="179" t="inlineStr">
        <is>
          <t>مساند</t>
        </is>
      </c>
      <c r="O38" s="179" t="inlineStr">
        <is>
          <t>تشغيل ذاتي</t>
        </is>
      </c>
      <c r="P38" s="179" t="inlineStr">
        <is>
          <t>على رأس العمل</t>
        </is>
      </c>
      <c r="Q38" s="180" t="n">
        <v>6400</v>
      </c>
      <c r="R38" s="182" t="n">
        <v>84.3</v>
      </c>
      <c r="S38" s="182" t="n">
        <v>84.3</v>
      </c>
      <c r="T38" s="179" t="inlineStr">
        <is>
          <t>نعم</t>
        </is>
      </c>
      <c r="U38" s="179" t="inlineStr">
        <is>
          <t>بكالوريوس</t>
        </is>
      </c>
      <c r="V38" s="179" t="inlineStr">
        <is>
          <t>لا ينطبق</t>
        </is>
      </c>
      <c r="W38" s="189" t="n"/>
      <c r="X38" s="179" t="inlineStr">
        <is>
          <t>لا ينطبق</t>
        </is>
      </c>
      <c r="Y38" s="180" t="n"/>
      <c r="Z38" s="179" t="inlineStr">
        <is>
          <t>سائق إسعاف</t>
        </is>
      </c>
      <c r="AA38" s="179" t="inlineStr">
        <is>
          <t>لا توجد إشارة واضحة</t>
        </is>
      </c>
      <c r="AB38" s="166" t="inlineStr">
        <is>
          <t>لا توجد ملاحظة جودة مباشرة</t>
        </is>
      </c>
      <c r="AC38" s="180" t="n">
        <v>0</v>
      </c>
      <c r="AD38" s="180" t="n">
        <v>1</v>
      </c>
      <c r="AE38" s="180" t="n">
        <v>21</v>
      </c>
    </row>
    <row r="39" ht="22" customHeight="1">
      <c r="A39" s="191" t="n">
        <v>300386</v>
      </c>
      <c r="B39" s="183" t="inlineStr">
        <is>
          <t>Layla Mansour</t>
        </is>
      </c>
      <c r="C39" s="183" t="inlineStr">
        <is>
          <t>أنثى</t>
        </is>
      </c>
      <c r="D39" s="183" t="inlineStr">
        <is>
          <t>سوريا</t>
        </is>
      </c>
      <c r="E39" s="192" t="n">
        <v>27431</v>
      </c>
      <c r="F39" s="184" t="n">
        <v>51</v>
      </c>
      <c r="G39" s="192" t="n">
        <v>38836</v>
      </c>
      <c r="H39" s="186" t="n">
        <v>20.3</v>
      </c>
      <c r="I39" s="183" t="inlineStr">
        <is>
          <t>مستشفى الملك فهد التخصصي بتبوك</t>
        </is>
      </c>
      <c r="J39" s="183" t="inlineStr">
        <is>
          <t>مستشفى مرجعي</t>
        </is>
      </c>
      <c r="K39" s="183" t="inlineStr">
        <is>
          <t>الإدارة التنفيذية للمستشفيات</t>
        </is>
      </c>
      <c r="L39" s="183" t="inlineStr">
        <is>
          <t>أطباء</t>
        </is>
      </c>
      <c r="M39" s="183" t="inlineStr">
        <is>
          <t>طبيب مقيم</t>
        </is>
      </c>
      <c r="N39" s="183" t="inlineStr">
        <is>
          <t>طبيب مقيم</t>
        </is>
      </c>
      <c r="O39" s="183" t="inlineStr">
        <is>
          <t>رسمي (بند الوظائف)</t>
        </is>
      </c>
      <c r="P39" s="183" t="inlineStr">
        <is>
          <t>على رأس العمل</t>
        </is>
      </c>
      <c r="Q39" s="184" t="n">
        <v>26400</v>
      </c>
      <c r="R39" s="186" t="n">
        <v>86.3</v>
      </c>
      <c r="S39" s="186" t="n">
        <v>86.3</v>
      </c>
      <c r="T39" s="183" t="inlineStr">
        <is>
          <t>نعم</t>
        </is>
      </c>
      <c r="U39" s="183" t="inlineStr">
        <is>
          <t>ماجستير</t>
        </is>
      </c>
      <c r="V39" s="183" t="inlineStr">
        <is>
          <t>نعم</t>
        </is>
      </c>
      <c r="W39" s="192" t="n">
        <v>46921</v>
      </c>
      <c r="X39" s="183" t="inlineStr">
        <is>
          <t>ساري لأكثر من 90 يوم</t>
        </is>
      </c>
      <c r="Y39" s="184" t="n">
        <v>668</v>
      </c>
      <c r="Z39" s="183" t="inlineStr">
        <is>
          <t>طبيب مقيم - باطنة</t>
        </is>
      </c>
      <c r="AA39" s="183" t="inlineStr">
        <is>
          <t>لا توجد إشارة واضحة</t>
        </is>
      </c>
      <c r="AB39" s="172" t="inlineStr">
        <is>
          <t>لا توجد ملاحظة جودة مباشرة</t>
        </is>
      </c>
      <c r="AC39" s="184" t="n">
        <v>0</v>
      </c>
      <c r="AD39" s="184" t="n">
        <v>1</v>
      </c>
      <c r="AE39" s="184" t="n">
        <v>5</v>
      </c>
    </row>
    <row r="40" ht="22" customHeight="1">
      <c r="A40" s="188" t="n">
        <v>300394</v>
      </c>
      <c r="B40" s="179" t="inlineStr">
        <is>
          <t>مها القحطاني</t>
        </is>
      </c>
      <c r="C40" s="179" t="inlineStr">
        <is>
          <t>أنثى</t>
        </is>
      </c>
      <c r="D40" s="179" t="inlineStr">
        <is>
          <t>سعودي</t>
        </is>
      </c>
      <c r="E40" s="189" t="n">
        <v>36364</v>
      </c>
      <c r="F40" s="180" t="n">
        <v>27</v>
      </c>
      <c r="G40" s="189" t="n">
        <v>45931</v>
      </c>
      <c r="H40" s="182" t="n">
        <v>0.9</v>
      </c>
      <c r="I40" s="179" t="inlineStr">
        <is>
          <t>مستشفى الملك خالد المدني</t>
        </is>
      </c>
      <c r="J40" s="179" t="inlineStr">
        <is>
          <t>مستشفى عام</t>
        </is>
      </c>
      <c r="K40" s="179" t="inlineStr">
        <is>
          <t>الإدارة التنفيذية للمستشفيات</t>
        </is>
      </c>
      <c r="L40" s="179" t="inlineStr">
        <is>
          <t>تمريض</t>
        </is>
      </c>
      <c r="M40" s="179" t="inlineStr">
        <is>
          <t>فني تمريض</t>
        </is>
      </c>
      <c r="N40" s="179" t="inlineStr">
        <is>
          <t>فني تمريض</t>
        </is>
      </c>
      <c r="O40" s="179" t="inlineStr">
        <is>
          <t>بند الأجور</t>
        </is>
      </c>
      <c r="P40" s="179" t="inlineStr">
        <is>
          <t>إجازة اضطرارية طويلة</t>
        </is>
      </c>
      <c r="Q40" s="180" t="n">
        <v>10850</v>
      </c>
      <c r="R40" s="182" t="n">
        <v>98</v>
      </c>
      <c r="S40" s="182" t="n">
        <v>98</v>
      </c>
      <c r="T40" s="179" t="inlineStr">
        <is>
          <t>نعم</t>
        </is>
      </c>
      <c r="U40" s="179" t="inlineStr">
        <is>
          <t>بكالوريوس</t>
        </is>
      </c>
      <c r="V40" s="179" t="inlineStr">
        <is>
          <t>نعم</t>
        </is>
      </c>
      <c r="W40" s="189" t="n">
        <v>46641</v>
      </c>
      <c r="X40" s="179" t="inlineStr">
        <is>
          <t>ساري لأكثر من 90 يوم</t>
        </is>
      </c>
      <c r="Y40" s="180" t="n">
        <v>388</v>
      </c>
      <c r="Z40" s="179" t="inlineStr">
        <is>
          <t>فني تمريض - أقسام داخلية</t>
        </is>
      </c>
      <c r="AA40" s="179" t="inlineStr">
        <is>
          <t>لا توجد إشارة واضحة</t>
        </is>
      </c>
      <c r="AB40" s="166" t="inlineStr">
        <is>
          <t>تكرار الرقم الوظيفي</t>
        </is>
      </c>
      <c r="AC40" s="180" t="n">
        <v>1</v>
      </c>
      <c r="AD40" s="180" t="n">
        <v>2</v>
      </c>
      <c r="AE40" s="180" t="n">
        <v>20</v>
      </c>
    </row>
    <row r="41" ht="22" customHeight="1">
      <c r="A41" s="191" t="n">
        <v>300406</v>
      </c>
      <c r="B41" s="183" t="inlineStr">
        <is>
          <t>Layla Mansour</t>
        </is>
      </c>
      <c r="C41" s="183" t="inlineStr">
        <is>
          <t>أنثى</t>
        </is>
      </c>
      <c r="D41" s="183" t="inlineStr">
        <is>
          <t>سوريا</t>
        </is>
      </c>
      <c r="E41" s="192" t="n">
        <v>26822</v>
      </c>
      <c r="F41" s="184" t="n">
        <v>53</v>
      </c>
      <c r="G41" s="192" t="n">
        <v>41981</v>
      </c>
      <c r="H41" s="186" t="n">
        <v>11.7</v>
      </c>
      <c r="I41" s="183" t="inlineStr">
        <is>
          <t>مستشفى الملك خالد المدني</t>
        </is>
      </c>
      <c r="J41" s="183" t="inlineStr">
        <is>
          <t>مستشفى عام</t>
        </is>
      </c>
      <c r="K41" s="183" t="inlineStr">
        <is>
          <t>الإدارة التنفيذية للمستشفيات</t>
        </is>
      </c>
      <c r="L41" s="183" t="inlineStr">
        <is>
          <t>تمريض</t>
        </is>
      </c>
      <c r="M41" s="183" t="inlineStr">
        <is>
          <t>فني تمريض</t>
        </is>
      </c>
      <c r="N41" s="183" t="inlineStr">
        <is>
          <t>فني تمريض</t>
        </is>
      </c>
      <c r="O41" s="183" t="inlineStr">
        <is>
          <t>رسمي (بند الوظائف)</t>
        </is>
      </c>
      <c r="P41" s="183" t="inlineStr">
        <is>
          <t>على رأس العمل</t>
        </is>
      </c>
      <c r="Q41" s="184" t="n">
        <v>13600</v>
      </c>
      <c r="R41" s="186" t="n">
        <v>75</v>
      </c>
      <c r="S41" s="186" t="n">
        <v>75</v>
      </c>
      <c r="T41" s="183" t="inlineStr">
        <is>
          <t>نعم</t>
        </is>
      </c>
      <c r="U41" s="183" t="inlineStr">
        <is>
          <t>دبلوم</t>
        </is>
      </c>
      <c r="V41" s="183" t="inlineStr">
        <is>
          <t>نعم</t>
        </is>
      </c>
      <c r="W41" s="192" t="n">
        <v>46625</v>
      </c>
      <c r="X41" s="183" t="inlineStr">
        <is>
          <t>ساري لأكثر من 90 يوم</t>
        </is>
      </c>
      <c r="Y41" s="184" t="n">
        <v>372</v>
      </c>
      <c r="Z41" s="183" t="inlineStr">
        <is>
          <t>فني تمريض - أقسام داخلية</t>
        </is>
      </c>
      <c r="AA41" s="183" t="inlineStr">
        <is>
          <t>لا توجد إشارة واضحة</t>
        </is>
      </c>
      <c r="AB41" s="172" t="inlineStr">
        <is>
          <t>لا توجد ملاحظة جودة مباشرة</t>
        </is>
      </c>
      <c r="AC41" s="184" t="n">
        <v>0</v>
      </c>
      <c r="AD41" s="184" t="n">
        <v>1</v>
      </c>
      <c r="AE41" s="184" t="n">
        <v>32</v>
      </c>
    </row>
    <row r="42" ht="22" customHeight="1">
      <c r="A42" s="188" t="n">
        <v>300415</v>
      </c>
      <c r="B42" s="179" t="inlineStr">
        <is>
          <t>عبدالله الحويطي</t>
        </is>
      </c>
      <c r="C42" s="179" t="inlineStr">
        <is>
          <t>ذكر</t>
        </is>
      </c>
      <c r="D42" s="179" t="inlineStr">
        <is>
          <t>سعودي</t>
        </is>
      </c>
      <c r="E42" s="189" t="n">
        <v>28432</v>
      </c>
      <c r="F42" s="180" t="n">
        <v>48</v>
      </c>
      <c r="G42" s="189" t="n">
        <v>44067</v>
      </c>
      <c r="H42" s="182" t="n">
        <v>6</v>
      </c>
      <c r="I42" s="179" t="inlineStr">
        <is>
          <t>مستشفى الملك خالد المدني</t>
        </is>
      </c>
      <c r="J42" s="179" t="inlineStr">
        <is>
          <t>مستشفى عام</t>
        </is>
      </c>
      <c r="K42" s="179" t="inlineStr">
        <is>
          <t>الإدارة التنفيذية للمستشفيات</t>
        </is>
      </c>
      <c r="L42" s="179" t="inlineStr">
        <is>
          <t>الإدارية</t>
        </is>
      </c>
      <c r="M42" s="179" t="inlineStr">
        <is>
          <t>أخصائي موارد بشرية</t>
        </is>
      </c>
      <c r="N42" s="179" t="inlineStr">
        <is>
          <t>إداري</t>
        </is>
      </c>
      <c r="O42" s="179" t="inlineStr">
        <is>
          <t>رسمي (بند الوظائف)</t>
        </is>
      </c>
      <c r="P42" s="179" t="inlineStr">
        <is>
          <t>على رأس العمل</t>
        </is>
      </c>
      <c r="Q42" s="180" t="n">
        <v>13850</v>
      </c>
      <c r="R42" s="182" t="n">
        <v>87.2</v>
      </c>
      <c r="S42" s="182" t="n">
        <v>87.2</v>
      </c>
      <c r="T42" s="179" t="inlineStr">
        <is>
          <t>نعم</t>
        </is>
      </c>
      <c r="U42" s="179" t="inlineStr">
        <is>
          <t>بكالوريوس</t>
        </is>
      </c>
      <c r="V42" s="179" t="inlineStr">
        <is>
          <t>لا ينطبق</t>
        </is>
      </c>
      <c r="W42" s="189" t="n"/>
      <c r="X42" s="179" t="inlineStr">
        <is>
          <t>لا ينطبق</t>
        </is>
      </c>
      <c r="Y42" s="180" t="n"/>
      <c r="Z42" s="179" t="inlineStr">
        <is>
          <t>أخصائي موارد بشرية</t>
        </is>
      </c>
      <c r="AA42" s="179" t="inlineStr">
        <is>
          <t>لا توجد إشارة واضحة</t>
        </is>
      </c>
      <c r="AB42" s="166" t="inlineStr">
        <is>
          <t>لا توجد ملاحظة جودة مباشرة</t>
        </is>
      </c>
      <c r="AC42" s="180" t="n">
        <v>0</v>
      </c>
      <c r="AD42" s="180" t="n">
        <v>1</v>
      </c>
      <c r="AE42" s="180" t="n">
        <v>3</v>
      </c>
    </row>
    <row r="43" ht="22" customHeight="1">
      <c r="A43" s="191" t="n">
        <v>300426</v>
      </c>
      <c r="B43" s="183" t="inlineStr">
        <is>
          <t>يزيد الشمري</t>
        </is>
      </c>
      <c r="C43" s="183" t="inlineStr">
        <is>
          <t>ذكر</t>
        </is>
      </c>
      <c r="D43" s="183" t="inlineStr">
        <is>
          <t>سعودي</t>
        </is>
      </c>
      <c r="E43" s="192" t="n">
        <v>35278</v>
      </c>
      <c r="F43" s="184" t="n">
        <v>30</v>
      </c>
      <c r="G43" s="192" t="n">
        <v>44582</v>
      </c>
      <c r="H43" s="186" t="n">
        <v>4.6</v>
      </c>
      <c r="I43" s="183" t="inlineStr">
        <is>
          <t>مستشفى الملك خالد المدني</t>
        </is>
      </c>
      <c r="J43" s="183" t="inlineStr">
        <is>
          <t>مستشفى عام</t>
        </is>
      </c>
      <c r="K43" s="183" t="inlineStr">
        <is>
          <t>الإدارة التنفيذية للمستشفيات</t>
        </is>
      </c>
      <c r="L43" s="183" t="inlineStr">
        <is>
          <t>تمريض</t>
        </is>
      </c>
      <c r="M43" s="183" t="inlineStr">
        <is>
          <t>فني تمريض عمليات</t>
        </is>
      </c>
      <c r="N43" s="183" t="inlineStr">
        <is>
          <t>فني تمريض</t>
        </is>
      </c>
      <c r="O43" s="183" t="inlineStr">
        <is>
          <t>تشغيل ذاتي</t>
        </is>
      </c>
      <c r="P43" s="183" t="inlineStr">
        <is>
          <t>منتهي الخدمة</t>
        </is>
      </c>
      <c r="Q43" s="184" t="n">
        <v>11600</v>
      </c>
      <c r="R43" s="186" t="n">
        <v>96.7</v>
      </c>
      <c r="S43" s="186" t="n">
        <v>96.7</v>
      </c>
      <c r="T43" s="183" t="inlineStr">
        <is>
          <t>نعم</t>
        </is>
      </c>
      <c r="U43" s="183" t="inlineStr">
        <is>
          <t>بكالوريوس</t>
        </is>
      </c>
      <c r="V43" s="183" t="inlineStr">
        <is>
          <t>نعم</t>
        </is>
      </c>
      <c r="W43" s="192" t="n">
        <v>46842</v>
      </c>
      <c r="X43" s="183" t="inlineStr">
        <is>
          <t>ساري لأكثر من 90 يوم</t>
        </is>
      </c>
      <c r="Y43" s="184" t="n">
        <v>589</v>
      </c>
      <c r="Z43" s="183" t="inlineStr">
        <is>
          <t>فني تمريض - غرف العمليات</t>
        </is>
      </c>
      <c r="AA43" s="183" t="inlineStr">
        <is>
          <t>لا توجد إشارة واضحة</t>
        </is>
      </c>
      <c r="AB43" s="172" t="inlineStr">
        <is>
          <t>تكرار الرقم الوظيفي</t>
        </is>
      </c>
      <c r="AC43" s="184" t="n">
        <v>1</v>
      </c>
      <c r="AD43" s="184" t="n">
        <v>2</v>
      </c>
      <c r="AE43" s="184" t="n">
        <v>35</v>
      </c>
    </row>
    <row r="44" ht="22" customHeight="1">
      <c r="A44" s="188" t="n">
        <v>300436</v>
      </c>
      <c r="B44" s="179" t="inlineStr">
        <is>
          <t>عبدالله الجهني</t>
        </is>
      </c>
      <c r="C44" s="179" t="inlineStr">
        <is>
          <t>ذكر</t>
        </is>
      </c>
      <c r="D44" s="179" t="inlineStr">
        <is>
          <t>سعودي</t>
        </is>
      </c>
      <c r="E44" s="189" t="n">
        <v>34320</v>
      </c>
      <c r="F44" s="180" t="n">
        <v>32</v>
      </c>
      <c r="G44" s="189" t="n">
        <v>43134</v>
      </c>
      <c r="H44" s="182" t="n">
        <v>8.5</v>
      </c>
      <c r="I44" s="179" t="inlineStr">
        <is>
          <t>مركز صحي المروج</t>
        </is>
      </c>
      <c r="J44" s="179" t="inlineStr">
        <is>
          <t>مركز رعاية أولية</t>
        </is>
      </c>
      <c r="K44" s="179" t="inlineStr">
        <is>
          <t>الإدارة التنفيذية للرعاية الصحية الأولية</t>
        </is>
      </c>
      <c r="L44" s="179" t="inlineStr">
        <is>
          <t>تمريض</t>
        </is>
      </c>
      <c r="M44" s="179" t="inlineStr">
        <is>
          <t>مشرف تمريض</t>
        </is>
      </c>
      <c r="N44" s="179" t="inlineStr">
        <is>
          <t>أخصائي تمريض</t>
        </is>
      </c>
      <c r="O44" s="179" t="inlineStr">
        <is>
          <t>عقود تشغيل</t>
        </is>
      </c>
      <c r="P44" s="179" t="inlineStr">
        <is>
          <t>على رأس العمل</t>
        </is>
      </c>
      <c r="Q44" s="180" t="n">
        <v>13050</v>
      </c>
      <c r="R44" s="182" t="n">
        <v>86.2</v>
      </c>
      <c r="S44" s="182" t="n">
        <v>86.2</v>
      </c>
      <c r="T44" s="179" t="inlineStr">
        <is>
          <t>نعم</t>
        </is>
      </c>
      <c r="U44" s="179" t="inlineStr">
        <is>
          <t>بكالوريوس</t>
        </is>
      </c>
      <c r="V44" s="179" t="inlineStr">
        <is>
          <t>نعم</t>
        </is>
      </c>
      <c r="W44" s="189" t="n">
        <v>46250</v>
      </c>
      <c r="X44" s="179" t="inlineStr">
        <is>
          <t>منتهي</t>
        </is>
      </c>
      <c r="Y44" s="180" t="n">
        <v>-3</v>
      </c>
      <c r="Z44" s="179" t="inlineStr">
        <is>
          <t>مشرف تمريض</t>
        </is>
      </c>
      <c r="AA44" s="179" t="inlineStr">
        <is>
          <t>لا توجد إشارة واضحة</t>
        </is>
      </c>
      <c r="AB44" s="166" t="inlineStr">
        <is>
          <t>لا توجد ملاحظة جودة مباشرة</t>
        </is>
      </c>
      <c r="AC44" s="180" t="n">
        <v>0</v>
      </c>
      <c r="AD44" s="180" t="n">
        <v>1</v>
      </c>
      <c r="AE44" s="180" t="n">
        <v>23</v>
      </c>
    </row>
    <row r="45" ht="22" customHeight="1">
      <c r="A45" s="191" t="n">
        <v>300443</v>
      </c>
      <c r="B45" s="183" t="inlineStr">
        <is>
          <t>ناصر الحربي</t>
        </is>
      </c>
      <c r="C45" s="183" t="inlineStr">
        <is>
          <t>ذكر</t>
        </is>
      </c>
      <c r="D45" s="183" t="inlineStr">
        <is>
          <t>سعودي</t>
        </is>
      </c>
      <c r="E45" s="192" t="n">
        <v>34694</v>
      </c>
      <c r="F45" s="184" t="n">
        <v>31</v>
      </c>
      <c r="G45" s="192" t="n">
        <v>45134</v>
      </c>
      <c r="H45" s="186" t="n">
        <v>3.1</v>
      </c>
      <c r="I45" s="183" t="inlineStr">
        <is>
          <t>مستشفى الملك فهد التخصصي بتبوك</t>
        </is>
      </c>
      <c r="J45" s="183" t="inlineStr">
        <is>
          <t>مستشفى مرجعي</t>
        </is>
      </c>
      <c r="K45" s="183" t="inlineStr">
        <is>
          <t>الإدارة التنفيذية للمستشفيات</t>
        </is>
      </c>
      <c r="L45" s="183" t="inlineStr">
        <is>
          <t>الصحة المساعدة</t>
        </is>
      </c>
      <c r="M45" s="183" t="inlineStr">
        <is>
          <t>أخصائي أشعة</t>
        </is>
      </c>
      <c r="N45" s="183" t="inlineStr">
        <is>
          <t>أخصائي</t>
        </is>
      </c>
      <c r="O45" s="183" t="inlineStr">
        <is>
          <t>رسمي (بند الوظائف)</t>
        </is>
      </c>
      <c r="P45" s="183" t="inlineStr">
        <is>
          <t>غير محدد</t>
        </is>
      </c>
      <c r="Q45" s="184" t="n">
        <v>10800</v>
      </c>
      <c r="R45" s="186" t="n">
        <v>82.7</v>
      </c>
      <c r="S45" s="186" t="n">
        <v>82.7</v>
      </c>
      <c r="T45" s="183" t="inlineStr">
        <is>
          <t>نعم</t>
        </is>
      </c>
      <c r="U45" s="183" t="inlineStr">
        <is>
          <t>ثانوية عامة</t>
        </is>
      </c>
      <c r="V45" s="183" t="inlineStr">
        <is>
          <t>نعم</t>
        </is>
      </c>
      <c r="W45" s="192" t="n">
        <v>46599</v>
      </c>
      <c r="X45" s="183" t="inlineStr">
        <is>
          <t>ساري لأكثر من 90 يوم</t>
        </is>
      </c>
      <c r="Y45" s="184" t="n">
        <v>346</v>
      </c>
      <c r="Z45" s="183" t="inlineStr">
        <is>
          <t>مدير إدارة الموارد البشرية</t>
        </is>
      </c>
      <c r="AA45" s="183" t="inlineStr">
        <is>
          <t>يحتاج مراجعة</t>
        </is>
      </c>
      <c r="AB45" s="172" t="inlineStr">
        <is>
          <t>حالة وظيفية مفقودة | تعارض وظيفي محتمل</t>
        </is>
      </c>
      <c r="AC45" s="184" t="n">
        <v>2</v>
      </c>
      <c r="AD45" s="184" t="n">
        <v>1</v>
      </c>
      <c r="AE45" s="184" t="n">
        <v>34</v>
      </c>
    </row>
    <row r="46" ht="22" customHeight="1">
      <c r="A46" s="188" t="n">
        <v>300452</v>
      </c>
      <c r="B46" s="179" t="inlineStr">
        <is>
          <t>Ahmed Fathy</t>
        </is>
      </c>
      <c r="C46" s="179" t="inlineStr">
        <is>
          <t>ذكر</t>
        </is>
      </c>
      <c r="D46" s="179" t="inlineStr">
        <is>
          <t>مصر</t>
        </is>
      </c>
      <c r="E46" s="189" t="n">
        <v>34030</v>
      </c>
      <c r="F46" s="180" t="n">
        <v>33</v>
      </c>
      <c r="G46" s="189" t="n">
        <v>46015</v>
      </c>
      <c r="H46" s="182" t="n">
        <v>0.7</v>
      </c>
      <c r="I46" s="179" t="inlineStr">
        <is>
          <t>مركز صحي المروج</t>
        </is>
      </c>
      <c r="J46" s="179" t="inlineStr">
        <is>
          <t>مركز رعاية أولية</t>
        </is>
      </c>
      <c r="K46" s="179" t="inlineStr">
        <is>
          <t>الإدارة التنفيذية للرعاية الصحية الأولية</t>
        </is>
      </c>
      <c r="L46" s="179" t="inlineStr">
        <is>
          <t>تمريض</t>
        </is>
      </c>
      <c r="M46" s="179" t="inlineStr">
        <is>
          <t>أخصائي تمريض</t>
        </is>
      </c>
      <c r="N46" s="179" t="inlineStr">
        <is>
          <t>أخصائي تمريض</t>
        </is>
      </c>
      <c r="O46" s="179" t="inlineStr">
        <is>
          <t>رسمي (بند الوظائف)</t>
        </is>
      </c>
      <c r="P46" s="179" t="inlineStr">
        <is>
          <t>على رأس العمل</t>
        </is>
      </c>
      <c r="Q46" s="180" t="n">
        <v>7400</v>
      </c>
      <c r="R46" s="182" t="n">
        <v>68.59999999999999</v>
      </c>
      <c r="S46" s="182" t="n">
        <v>68.59999999999999</v>
      </c>
      <c r="T46" s="179" t="inlineStr">
        <is>
          <t>نعم</t>
        </is>
      </c>
      <c r="U46" s="179" t="inlineStr">
        <is>
          <t>ماجستير</t>
        </is>
      </c>
      <c r="V46" s="179" t="inlineStr">
        <is>
          <t>نعم</t>
        </is>
      </c>
      <c r="W46" s="189" t="n">
        <v>46067</v>
      </c>
      <c r="X46" s="179" t="inlineStr">
        <is>
          <t>منتهي</t>
        </is>
      </c>
      <c r="Y46" s="180" t="n">
        <v>-186</v>
      </c>
      <c r="Z46" s="179" t="inlineStr">
        <is>
          <t>استشاري جراحة عامة</t>
        </is>
      </c>
      <c r="AA46" s="179" t="inlineStr">
        <is>
          <t>يحتاج مراجعة</t>
        </is>
      </c>
      <c r="AB46" s="166" t="inlineStr">
        <is>
          <t>تعارض وظيفي محتمل</t>
        </is>
      </c>
      <c r="AC46" s="180" t="n">
        <v>1</v>
      </c>
      <c r="AD46" s="180" t="n">
        <v>1</v>
      </c>
      <c r="AE46" s="180" t="n">
        <v>28</v>
      </c>
    </row>
    <row r="47" ht="22" customHeight="1">
      <c r="A47" s="191" t="n">
        <v>300462</v>
      </c>
      <c r="B47" s="183" t="inlineStr">
        <is>
          <t>Ahmed Fathy</t>
        </is>
      </c>
      <c r="C47" s="183" t="inlineStr">
        <is>
          <t>ذكر</t>
        </is>
      </c>
      <c r="D47" s="183" t="inlineStr">
        <is>
          <t>مصر</t>
        </is>
      </c>
      <c r="E47" s="192" t="n">
        <v>34452</v>
      </c>
      <c r="F47" s="184" t="n">
        <v>32</v>
      </c>
      <c r="G47" s="192" t="n">
        <v>45946</v>
      </c>
      <c r="H47" s="186" t="n">
        <v>0.8</v>
      </c>
      <c r="I47" s="183" t="inlineStr">
        <is>
          <t>مستشفى الملك فهد التخصصي بتبوك</t>
        </is>
      </c>
      <c r="J47" s="183" t="inlineStr">
        <is>
          <t>مستشفى مرجعي</t>
        </is>
      </c>
      <c r="K47" s="183" t="inlineStr">
        <is>
          <t>الإدارة التنفيذية للمستشفيات</t>
        </is>
      </c>
      <c r="L47" s="183" t="inlineStr">
        <is>
          <t>أطباء</t>
        </is>
      </c>
      <c r="M47" s="183" t="inlineStr">
        <is>
          <t>أخصائي باطنة</t>
        </is>
      </c>
      <c r="N47" s="183" t="inlineStr">
        <is>
          <t>أخصائي</t>
        </is>
      </c>
      <c r="O47" s="183" t="inlineStr">
        <is>
          <t>رسمي (بند الوظائف)</t>
        </is>
      </c>
      <c r="P47" s="183" t="inlineStr">
        <is>
          <t>على رأس العمل</t>
        </is>
      </c>
      <c r="Q47" s="184" t="n">
        <v>24350</v>
      </c>
      <c r="R47" s="186" t="n">
        <v>83.2</v>
      </c>
      <c r="S47" s="186" t="n">
        <v>83.2</v>
      </c>
      <c r="T47" s="183" t="inlineStr">
        <is>
          <t>نعم</t>
        </is>
      </c>
      <c r="U47" s="183" t="inlineStr">
        <is>
          <t>بكالوريوس</t>
        </is>
      </c>
      <c r="V47" s="183" t="inlineStr">
        <is>
          <t>نعم</t>
        </is>
      </c>
      <c r="W47" s="192" t="n">
        <v>47042</v>
      </c>
      <c r="X47" s="183" t="inlineStr">
        <is>
          <t>ساري لأكثر من 90 يوم</t>
        </is>
      </c>
      <c r="Y47" s="184" t="n">
        <v>789</v>
      </c>
      <c r="Z47" s="183" t="inlineStr">
        <is>
          <t>أخصائي باطنة</t>
        </is>
      </c>
      <c r="AA47" s="183" t="inlineStr">
        <is>
          <t>لا توجد إشارة واضحة</t>
        </is>
      </c>
      <c r="AB47" s="172" t="inlineStr">
        <is>
          <t>تكرار الرقم الوظيفي</t>
        </is>
      </c>
      <c r="AC47" s="184" t="n">
        <v>1</v>
      </c>
      <c r="AD47" s="184" t="n">
        <v>2</v>
      </c>
      <c r="AE47" s="184" t="n">
        <v>18</v>
      </c>
    </row>
    <row r="48" ht="22" customHeight="1">
      <c r="A48" s="188" t="n">
        <v>300466</v>
      </c>
      <c r="B48" s="179" t="inlineStr">
        <is>
          <t>Ahmed Fathy</t>
        </is>
      </c>
      <c r="C48" s="179" t="inlineStr">
        <is>
          <t>ذكر</t>
        </is>
      </c>
      <c r="D48" s="179" t="inlineStr">
        <is>
          <t>مصر</t>
        </is>
      </c>
      <c r="E48" s="189" t="n">
        <v>33425</v>
      </c>
      <c r="F48" s="180" t="n">
        <v>35</v>
      </c>
      <c r="G48" s="189" t="n">
        <v>43690</v>
      </c>
      <c r="H48" s="182" t="n">
        <v>7</v>
      </c>
      <c r="I48" s="179" t="inlineStr">
        <is>
          <t>مستشفى الملك فهد التخصصي بتبوك</t>
        </is>
      </c>
      <c r="J48" s="179" t="inlineStr">
        <is>
          <t>مستشفى مرجعي</t>
        </is>
      </c>
      <c r="K48" s="179" t="inlineStr">
        <is>
          <t>الإدارة التنفيذية للمستشفيات</t>
        </is>
      </c>
      <c r="L48" s="179" t="inlineStr">
        <is>
          <t>الخدمات المساندة</t>
        </is>
      </c>
      <c r="M48" s="179" t="inlineStr">
        <is>
          <t>أمين مستودع</t>
        </is>
      </c>
      <c r="N48" s="179" t="inlineStr">
        <is>
          <t>مساند</t>
        </is>
      </c>
      <c r="O48" s="179" t="inlineStr">
        <is>
          <t>رسمي (بند الوظائف)</t>
        </is>
      </c>
      <c r="P48" s="179" t="inlineStr">
        <is>
          <t>إجازة اضطرارية طويلة</t>
        </is>
      </c>
      <c r="Q48" s="180" t="n">
        <v>5800</v>
      </c>
      <c r="R48" s="182" t="n">
        <v>89.8</v>
      </c>
      <c r="S48" s="182" t="n">
        <v>89.8</v>
      </c>
      <c r="T48" s="179" t="inlineStr">
        <is>
          <t>نعم</t>
        </is>
      </c>
      <c r="U48" s="179" t="inlineStr">
        <is>
          <t>ثانوية عامة</t>
        </is>
      </c>
      <c r="V48" s="179" t="inlineStr">
        <is>
          <t>لا ينطبق</t>
        </is>
      </c>
      <c r="W48" s="189" t="n"/>
      <c r="X48" s="179" t="inlineStr">
        <is>
          <t>لا ينطبق</t>
        </is>
      </c>
      <c r="Y48" s="180" t="n"/>
      <c r="Z48" s="179" t="inlineStr">
        <is>
          <t>أمين مستودع</t>
        </is>
      </c>
      <c r="AA48" s="179" t="inlineStr">
        <is>
          <t>لا توجد إشارة واضحة</t>
        </is>
      </c>
      <c r="AB48" s="166" t="inlineStr">
        <is>
          <t>لا توجد ملاحظة جودة مباشرة</t>
        </is>
      </c>
      <c r="AC48" s="180" t="n">
        <v>0</v>
      </c>
      <c r="AD48" s="180" t="n">
        <v>1</v>
      </c>
      <c r="AE48" s="180" t="n">
        <v>22</v>
      </c>
    </row>
    <row r="49" ht="22" customHeight="1">
      <c r="A49" s="191" t="n">
        <v>300473</v>
      </c>
      <c r="B49" s="183" t="inlineStr">
        <is>
          <t>ريم الصاعدي</t>
        </is>
      </c>
      <c r="C49" s="183" t="inlineStr">
        <is>
          <t>أنثى</t>
        </is>
      </c>
      <c r="D49" s="183" t="inlineStr">
        <is>
          <t>سعودي</t>
        </is>
      </c>
      <c r="E49" s="192" t="n">
        <v>29340</v>
      </c>
      <c r="F49" s="184" t="n">
        <v>46</v>
      </c>
      <c r="G49" s="192" t="n">
        <v>38166</v>
      </c>
      <c r="H49" s="186" t="n">
        <v>22.1</v>
      </c>
      <c r="I49" s="183" t="inlineStr">
        <is>
          <t>مستشفى الملك خالد المدني</t>
        </is>
      </c>
      <c r="J49" s="183" t="inlineStr">
        <is>
          <t>مستشفى عام</t>
        </is>
      </c>
      <c r="K49" s="183" t="inlineStr">
        <is>
          <t>الإدارة التنفيذية للمستشفيات</t>
        </is>
      </c>
      <c r="L49" s="183" t="inlineStr">
        <is>
          <t>تمريض</t>
        </is>
      </c>
      <c r="M49" s="183" t="inlineStr">
        <is>
          <t>أخصائي تمريض</t>
        </is>
      </c>
      <c r="N49" s="183" t="inlineStr">
        <is>
          <t>أخصائي تمريض</t>
        </is>
      </c>
      <c r="O49" s="183" t="inlineStr">
        <is>
          <t>رسمي (بند الوظائف)</t>
        </is>
      </c>
      <c r="P49" s="183" t="inlineStr">
        <is>
          <t>على رأس العمل</t>
        </is>
      </c>
      <c r="Q49" s="184" t="n">
        <v>11850</v>
      </c>
      <c r="R49" s="186" t="n">
        <v>93.2</v>
      </c>
      <c r="S49" s="186" t="n">
        <v>93.2</v>
      </c>
      <c r="T49" s="183" t="inlineStr">
        <is>
          <t>نعم</t>
        </is>
      </c>
      <c r="U49" s="183" t="inlineStr">
        <is>
          <t>دبلوم</t>
        </is>
      </c>
      <c r="V49" s="183" t="inlineStr">
        <is>
          <t>لا</t>
        </is>
      </c>
      <c r="W49" s="192" t="n"/>
      <c r="X49" s="183" t="inlineStr">
        <is>
          <t>غير مسجل</t>
        </is>
      </c>
      <c r="Y49" s="184" t="n"/>
      <c r="Z49" s="183" t="inlineStr">
        <is>
          <t>أخصائي تمريض - أقسام داخلية</t>
        </is>
      </c>
      <c r="AA49" s="183" t="inlineStr">
        <is>
          <t>لا توجد إشارة واضحة</t>
        </is>
      </c>
      <c r="AB49" s="172" t="inlineStr">
        <is>
          <t>حالة تسجيل مهني تحتاج تحقق</t>
        </is>
      </c>
      <c r="AC49" s="184" t="n">
        <v>1</v>
      </c>
      <c r="AD49" s="184" t="n">
        <v>1</v>
      </c>
      <c r="AE49" s="184" t="n">
        <v>40</v>
      </c>
    </row>
    <row r="50" ht="22" customHeight="1">
      <c r="A50" s="188" t="n">
        <v>300476</v>
      </c>
      <c r="B50" s="179" t="inlineStr">
        <is>
          <t>Rajesh Kumar</t>
        </is>
      </c>
      <c r="C50" s="179" t="inlineStr">
        <is>
          <t>ذكر</t>
        </is>
      </c>
      <c r="D50" s="179" t="inlineStr">
        <is>
          <t>الهند</t>
        </is>
      </c>
      <c r="E50" s="189" t="n">
        <v>25229</v>
      </c>
      <c r="F50" s="180" t="n">
        <v>57</v>
      </c>
      <c r="G50" s="189" t="n">
        <v>35259</v>
      </c>
      <c r="H50" s="182" t="n">
        <v>30.1</v>
      </c>
      <c r="I50" s="179" t="inlineStr">
        <is>
          <t>مستشفى الملك فهد التخصصي بتبوك</t>
        </is>
      </c>
      <c r="J50" s="179" t="inlineStr">
        <is>
          <t>مستشفى مرجعي</t>
        </is>
      </c>
      <c r="K50" s="179" t="inlineStr">
        <is>
          <t>الإدارة التنفيذية للمستشفيات</t>
        </is>
      </c>
      <c r="L50" s="179" t="inlineStr">
        <is>
          <t>تمريض</t>
        </is>
      </c>
      <c r="M50" s="179" t="inlineStr">
        <is>
          <t>فني تمريض</t>
        </is>
      </c>
      <c r="N50" s="179" t="inlineStr">
        <is>
          <t>فني تمريض</t>
        </is>
      </c>
      <c r="O50" s="179" t="inlineStr">
        <is>
          <t>تشغيل ذاتي</t>
        </is>
      </c>
      <c r="P50" s="179" t="inlineStr">
        <is>
          <t>على رأس العمل</t>
        </is>
      </c>
      <c r="Q50" s="180" t="n">
        <v>10350</v>
      </c>
      <c r="R50" s="182" t="n">
        <v>92.8</v>
      </c>
      <c r="S50" s="182" t="n">
        <v>92.8</v>
      </c>
      <c r="T50" s="179" t="inlineStr">
        <is>
          <t>نعم</t>
        </is>
      </c>
      <c r="U50" s="179" t="inlineStr">
        <is>
          <t>بكالوريوس</t>
        </is>
      </c>
      <c r="V50" s="179" t="inlineStr">
        <is>
          <t>نعم</t>
        </is>
      </c>
      <c r="W50" s="189" t="n">
        <v>46193</v>
      </c>
      <c r="X50" s="179" t="inlineStr">
        <is>
          <t>منتهي</t>
        </is>
      </c>
      <c r="Y50" s="180" t="n">
        <v>-60</v>
      </c>
      <c r="Z50" s="179" t="inlineStr">
        <is>
          <t>فني تمريض - أقسام داخلية</t>
        </is>
      </c>
      <c r="AA50" s="179" t="inlineStr">
        <is>
          <t>لا توجد إشارة واضحة</t>
        </is>
      </c>
      <c r="AB50" s="166" t="inlineStr">
        <is>
          <t>لا توجد ملاحظة جودة مباشرة</t>
        </is>
      </c>
      <c r="AC50" s="180" t="n">
        <v>0</v>
      </c>
      <c r="AD50" s="180" t="n">
        <v>1</v>
      </c>
      <c r="AE50" s="180" t="n">
        <v>12</v>
      </c>
    </row>
    <row r="51" ht="22" customHeight="1">
      <c r="A51" s="191" t="n">
        <v>300480</v>
      </c>
      <c r="B51" s="183" t="inlineStr">
        <is>
          <t>Maria Santos</t>
        </is>
      </c>
      <c r="C51" s="183" t="inlineStr">
        <is>
          <t>أنثى</t>
        </is>
      </c>
      <c r="D51" s="183" t="inlineStr">
        <is>
          <t>الفلبين</t>
        </is>
      </c>
      <c r="E51" s="192" t="n">
        <v>30660</v>
      </c>
      <c r="F51" s="184" t="n">
        <v>42</v>
      </c>
      <c r="G51" s="192" t="n">
        <v>43981</v>
      </c>
      <c r="H51" s="186" t="n">
        <v>6.2</v>
      </c>
      <c r="I51" s="183" t="inlineStr">
        <is>
          <t>مركز صحي المروج</t>
        </is>
      </c>
      <c r="J51" s="183" t="inlineStr">
        <is>
          <t>مركز رعاية أولية</t>
        </is>
      </c>
      <c r="K51" s="183" t="inlineStr">
        <is>
          <t>الإدارة التنفيذية للرعاية الصحية الأولية</t>
        </is>
      </c>
      <c r="L51" s="183" t="inlineStr">
        <is>
          <t>أطباء</t>
        </is>
      </c>
      <c r="M51" s="183" t="inlineStr">
        <is>
          <t>طبيب عام</t>
        </is>
      </c>
      <c r="N51" s="183" t="inlineStr">
        <is>
          <t>طبيب مقيم</t>
        </is>
      </c>
      <c r="O51" s="183" t="inlineStr">
        <is>
          <t>رسمي (بند الوظائف)</t>
        </is>
      </c>
      <c r="P51" s="183" t="inlineStr">
        <is>
          <t>غير محدد</t>
        </is>
      </c>
      <c r="Q51" s="184" t="n">
        <v>25600</v>
      </c>
      <c r="R51" s="186" t="n">
        <v>76.09999999999999</v>
      </c>
      <c r="S51" s="186" t="n">
        <v>76.09999999999999</v>
      </c>
      <c r="T51" s="183" t="inlineStr">
        <is>
          <t>نعم</t>
        </is>
      </c>
      <c r="U51" s="183" t="inlineStr">
        <is>
          <t>بكالوريوس</t>
        </is>
      </c>
      <c r="V51" s="183" t="inlineStr">
        <is>
          <t>نعم</t>
        </is>
      </c>
      <c r="W51" s="192" t="n">
        <v>45721</v>
      </c>
      <c r="X51" s="183" t="inlineStr">
        <is>
          <t>منتهي</t>
        </is>
      </c>
      <c r="Y51" s="184" t="n">
        <v>-532</v>
      </c>
      <c r="Z51" s="183" t="inlineStr">
        <is>
          <t>طبيب عام - رعاية أولية</t>
        </is>
      </c>
      <c r="AA51" s="183" t="inlineStr">
        <is>
          <t>لا توجد إشارة واضحة</t>
        </is>
      </c>
      <c r="AB51" s="172" t="inlineStr">
        <is>
          <t>حالة وظيفية مفقودة</t>
        </is>
      </c>
      <c r="AC51" s="184" t="n">
        <v>1</v>
      </c>
      <c r="AD51" s="184" t="n">
        <v>1</v>
      </c>
      <c r="AE51" s="184" t="n">
        <v>36</v>
      </c>
    </row>
  </sheetData>
  <conditionalFormatting sqref="X2:X51">
    <cfRule type="expression" priority="1" dxfId="0">
      <formula>X2="منتهي"</formula>
    </cfRule>
    <cfRule type="expression" priority="2" dxfId="1">
      <formula>X2="ينتهي خلال 90 يوم"</formula>
    </cfRule>
  </conditionalFormatting>
  <conditionalFormatting sqref="P2:P51">
    <cfRule type="expression" priority="3" dxfId="2">
      <formula>P2="غير محدد"</formula>
    </cfRule>
  </conditionalFormatting>
  <conditionalFormatting sqref="AA2:AA51">
    <cfRule type="expression" priority="4" dxfId="3">
      <formula>AA2="يحتاج مراجعة"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9" customWidth="1" min="3" max="3"/>
    <col width="9" customWidth="1" min="4" max="4"/>
    <col width="15" customWidth="1" min="5" max="5"/>
    <col width="15" customWidth="1" min="6" max="6"/>
    <col width="32" customWidth="1" min="7" max="7"/>
    <col width="18" customWidth="1" min="8" max="8"/>
    <col width="40" customWidth="1" min="9" max="9"/>
    <col width="18" customWidth="1" min="10" max="10"/>
    <col width="26" customWidth="1" min="11" max="11"/>
    <col width="14" customWidth="1" min="12" max="12"/>
    <col width="20" customWidth="1" min="13" max="13"/>
    <col width="22" customWidth="1" min="14" max="14"/>
    <col width="16" customWidth="1" min="15" max="15"/>
    <col width="19" customWidth="1" min="16" max="16"/>
    <col width="15" customWidth="1" min="17" max="17"/>
    <col width="24" customWidth="1" min="18" max="18"/>
    <col width="22" customWidth="1" min="19" max="19"/>
    <col width="33" customWidth="1" min="20" max="20"/>
  </cols>
  <sheetData>
    <row r="1" ht="30" customHeight="1">
      <c r="A1" s="178" t="inlineStr">
        <is>
          <t>الرقم_الوظيفي</t>
        </is>
      </c>
      <c r="B1" s="178" t="inlineStr">
        <is>
          <t>اسم_الموظف</t>
        </is>
      </c>
      <c r="C1" s="178" t="inlineStr">
        <is>
          <t>الجنس</t>
        </is>
      </c>
      <c r="D1" s="178" t="inlineStr">
        <is>
          <t>الجنسية</t>
        </is>
      </c>
      <c r="E1" s="178" t="inlineStr">
        <is>
          <t>تاريخ_الميلاد</t>
        </is>
      </c>
      <c r="F1" s="178" t="inlineStr">
        <is>
          <t>تاريخ_التعيين</t>
        </is>
      </c>
      <c r="G1" s="178" t="inlineStr">
        <is>
          <t>المنشأة</t>
        </is>
      </c>
      <c r="H1" s="178" t="inlineStr">
        <is>
          <t>نوع_المنشأة</t>
        </is>
      </c>
      <c r="I1" s="178" t="inlineStr">
        <is>
          <t>الإدارة_التنفيذية</t>
        </is>
      </c>
      <c r="J1" s="178" t="inlineStr">
        <is>
          <t>الفئة_الوظيفية</t>
        </is>
      </c>
      <c r="K1" s="178" t="inlineStr">
        <is>
          <t>المسمى_الوظيفي</t>
        </is>
      </c>
      <c r="L1" s="178" t="inlineStr">
        <is>
          <t>التصنيف</t>
        </is>
      </c>
      <c r="M1" s="178" t="inlineStr">
        <is>
          <t>نوع_التعاقد</t>
        </is>
      </c>
      <c r="N1" s="178" t="inlineStr">
        <is>
          <t>الحالة_الوظيفية</t>
        </is>
      </c>
      <c r="O1" s="178" t="inlineStr">
        <is>
          <t>الراتب_الأساسي</t>
        </is>
      </c>
      <c r="P1" s="178" t="inlineStr">
        <is>
          <t>تقييم_الأداء_2025</t>
        </is>
      </c>
      <c r="Q1" s="178" t="inlineStr">
        <is>
          <t>المؤهل_العلمي</t>
        </is>
      </c>
      <c r="R1" s="178" t="inlineStr">
        <is>
          <t>مسجل_في_التصنيف_المهني</t>
        </is>
      </c>
      <c r="S1" s="178" t="inlineStr">
        <is>
          <t>تاريخ_انتهاء_التصنيف</t>
        </is>
      </c>
      <c r="T1" s="178" t="inlineStr">
        <is>
          <t>جهة العمل الفعلية</t>
        </is>
      </c>
    </row>
    <row r="2">
      <c r="A2" s="188" t="n">
        <v>300257</v>
      </c>
      <c r="B2" s="179" t="inlineStr">
        <is>
          <t>محمد القحطاني</t>
        </is>
      </c>
      <c r="C2" s="179" t="inlineStr">
        <is>
          <t>ذكر</t>
        </is>
      </c>
      <c r="D2" s="179" t="inlineStr">
        <is>
          <t>سعودي</t>
        </is>
      </c>
      <c r="E2" s="179" t="inlineStr">
        <is>
          <t>1983/08/17</t>
        </is>
      </c>
      <c r="F2" s="179" t="inlineStr">
        <is>
          <t>2019-07-12</t>
        </is>
      </c>
      <c r="G2" s="179" t="inlineStr">
        <is>
          <t>مستشفى ضباء العام</t>
        </is>
      </c>
      <c r="H2" s="179" t="inlineStr">
        <is>
          <t>مستشفى عام</t>
        </is>
      </c>
      <c r="I2" s="179" t="inlineStr">
        <is>
          <t>الإدارة التنفيذية للمستشفيات</t>
        </is>
      </c>
      <c r="J2" s="179" t="inlineStr">
        <is>
          <t>أطباء</t>
        </is>
      </c>
      <c r="K2" s="179" t="inlineStr">
        <is>
          <t>طبيب عام</t>
        </is>
      </c>
      <c r="L2" s="179" t="inlineStr">
        <is>
          <t>طبيب مقيم</t>
        </is>
      </c>
      <c r="M2" s="179" t="inlineStr">
        <is>
          <t>رسمي (بند الوظائف)</t>
        </is>
      </c>
      <c r="N2" s="179" t="inlineStr">
        <is>
          <t>على رأس العمل</t>
        </is>
      </c>
      <c r="O2" s="180" t="n">
        <v>31350</v>
      </c>
      <c r="P2" s="182" t="n">
        <v>78</v>
      </c>
      <c r="Q2" s="179" t="inlineStr">
        <is>
          <t>دبلوم</t>
        </is>
      </c>
      <c r="R2" s="179" t="inlineStr">
        <is>
          <t>نعم</t>
        </is>
      </c>
      <c r="S2" s="179" t="inlineStr">
        <is>
          <t>2026-02-08</t>
        </is>
      </c>
      <c r="T2" s="179" t="inlineStr">
        <is>
          <t>طبيب عام - عيادات خارجية</t>
        </is>
      </c>
    </row>
    <row r="3">
      <c r="A3" s="191" t="n">
        <v>300415</v>
      </c>
      <c r="B3" s="183" t="inlineStr">
        <is>
          <t>عبدالله الحويطي</t>
        </is>
      </c>
      <c r="C3" s="183" t="inlineStr">
        <is>
          <t>ذكر</t>
        </is>
      </c>
      <c r="D3" s="183" t="inlineStr">
        <is>
          <t>سعودي</t>
        </is>
      </c>
      <c r="E3" s="183" t="inlineStr">
        <is>
          <t>03/11/1977</t>
        </is>
      </c>
      <c r="F3" s="183" t="inlineStr">
        <is>
          <t>2020/08/24</t>
        </is>
      </c>
      <c r="G3" s="183" t="inlineStr">
        <is>
          <t>مستشفى الملك خالد المدني</t>
        </is>
      </c>
      <c r="H3" s="183" t="inlineStr">
        <is>
          <t>مستشفى عام</t>
        </is>
      </c>
      <c r="I3" s="183" t="inlineStr">
        <is>
          <t>الإدارة التنفيذية للمستشفيات</t>
        </is>
      </c>
      <c r="J3" s="183" t="inlineStr">
        <is>
          <t>الإدارية</t>
        </is>
      </c>
      <c r="K3" s="183" t="inlineStr">
        <is>
          <t>أخصائي موارد بشرية</t>
        </is>
      </c>
      <c r="L3" s="183" t="inlineStr">
        <is>
          <t>إداري</t>
        </is>
      </c>
      <c r="M3" s="183" t="inlineStr">
        <is>
          <t>رسمي (بند الوظائف)</t>
        </is>
      </c>
      <c r="N3" s="183" t="inlineStr">
        <is>
          <t>على رأس العمل</t>
        </is>
      </c>
      <c r="O3" s="184" t="n">
        <v>13850</v>
      </c>
      <c r="P3" s="186" t="n">
        <v>87.2</v>
      </c>
      <c r="Q3" s="183" t="inlineStr">
        <is>
          <t>بكالوريوس</t>
        </is>
      </c>
      <c r="R3" s="183" t="inlineStr">
        <is>
          <t>لا ينطبق</t>
        </is>
      </c>
      <c r="S3" s="183" t="n"/>
      <c r="T3" s="183" t="inlineStr">
        <is>
          <t>أخصائي موارد بشرية</t>
        </is>
      </c>
    </row>
    <row r="4">
      <c r="A4" s="188" t="n">
        <v>300394</v>
      </c>
      <c r="B4" s="179" t="inlineStr">
        <is>
          <t>مها القحطاني</t>
        </is>
      </c>
      <c r="C4" s="179" t="inlineStr">
        <is>
          <t>أنثى</t>
        </is>
      </c>
      <c r="D4" s="179" t="inlineStr">
        <is>
          <t>سعودية</t>
        </is>
      </c>
      <c r="E4" s="179" t="inlineStr">
        <is>
          <t>1999-07-23</t>
        </is>
      </c>
      <c r="F4" s="179" t="inlineStr">
        <is>
          <t>2025-10-01</t>
        </is>
      </c>
      <c r="G4" s="179" t="inlineStr">
        <is>
          <t>مستشفى الملك خالد المدني</t>
        </is>
      </c>
      <c r="H4" s="179" t="inlineStr">
        <is>
          <t>مستشفى عام</t>
        </is>
      </c>
      <c r="I4" s="179" t="inlineStr">
        <is>
          <t>الإدارة التنفيذية للمستشفيات</t>
        </is>
      </c>
      <c r="J4" s="179" t="inlineStr">
        <is>
          <t>تمريض</t>
        </is>
      </c>
      <c r="K4" s="179" t="inlineStr">
        <is>
          <t>فني تمريض</t>
        </is>
      </c>
      <c r="L4" s="179" t="inlineStr">
        <is>
          <t>فني تمريض</t>
        </is>
      </c>
      <c r="M4" s="179" t="inlineStr">
        <is>
          <t>بند الأجور</t>
        </is>
      </c>
      <c r="N4" s="179" t="inlineStr">
        <is>
          <t>إجازة اضطرارية طويلة</t>
        </is>
      </c>
      <c r="O4" s="180" t="n">
        <v>10850</v>
      </c>
      <c r="P4" s="182" t="n">
        <v>98</v>
      </c>
      <c r="Q4" s="179" t="inlineStr">
        <is>
          <t>بكالوريوس</t>
        </is>
      </c>
      <c r="R4" s="179" t="inlineStr">
        <is>
          <t>نعم</t>
        </is>
      </c>
      <c r="S4" s="179" t="inlineStr">
        <is>
          <t>2027-09-11</t>
        </is>
      </c>
      <c r="T4" s="179" t="inlineStr">
        <is>
          <t>فني تمريض - أقسام داخلية</t>
        </is>
      </c>
    </row>
    <row r="5">
      <c r="A5" s="191" t="n">
        <v>300386</v>
      </c>
      <c r="B5" s="183" t="inlineStr">
        <is>
          <t>Layla Mansour</t>
        </is>
      </c>
      <c r="C5" s="183" t="inlineStr">
        <is>
          <t>أنثى</t>
        </is>
      </c>
      <c r="D5" s="183" t="inlineStr">
        <is>
          <t>سوريا</t>
        </is>
      </c>
      <c r="E5" s="183" t="inlineStr">
        <is>
          <t>1975/02/06</t>
        </is>
      </c>
      <c r="F5" s="183" t="inlineStr">
        <is>
          <t>2006/04/29</t>
        </is>
      </c>
      <c r="G5" s="183" t="inlineStr">
        <is>
          <t>مستشفى الملك فهد التخصصي بتبوك</t>
        </is>
      </c>
      <c r="H5" s="183" t="inlineStr">
        <is>
          <t>مستشفى مرجعي</t>
        </is>
      </c>
      <c r="I5" s="183" t="inlineStr">
        <is>
          <t>الإدارة التنفيذية للمستشفيات</t>
        </is>
      </c>
      <c r="J5" s="183" t="inlineStr">
        <is>
          <t>أطباء</t>
        </is>
      </c>
      <c r="K5" s="183" t="inlineStr">
        <is>
          <t>طبيب مقيم</t>
        </is>
      </c>
      <c r="L5" s="183" t="inlineStr">
        <is>
          <t>طبيب مقيم</t>
        </is>
      </c>
      <c r="M5" s="183" t="inlineStr">
        <is>
          <t>رسمي (بند الوظائف)</t>
        </is>
      </c>
      <c r="N5" s="183" t="inlineStr">
        <is>
          <t>على رأس العمل</t>
        </is>
      </c>
      <c r="O5" s="184" t="n">
        <v>26400</v>
      </c>
      <c r="P5" s="186" t="n">
        <v>86.3</v>
      </c>
      <c r="Q5" s="183" t="inlineStr">
        <is>
          <t>ماجستير</t>
        </is>
      </c>
      <c r="R5" s="183" t="inlineStr">
        <is>
          <t>نعم</t>
        </is>
      </c>
      <c r="S5" s="183" t="inlineStr">
        <is>
          <t>2028-06-17</t>
        </is>
      </c>
      <c r="T5" s="183" t="inlineStr">
        <is>
          <t>طبيب مقيم - باطنة</t>
        </is>
      </c>
    </row>
    <row r="6">
      <c r="A6" s="188" t="n">
        <v>300248</v>
      </c>
      <c r="B6" s="179" t="inlineStr">
        <is>
          <t>عمر الزهراني</t>
        </is>
      </c>
      <c r="C6" s="179" t="inlineStr">
        <is>
          <t>ذكر</t>
        </is>
      </c>
      <c r="D6" s="179" t="inlineStr">
        <is>
          <t>سعودي</t>
        </is>
      </c>
      <c r="E6" s="179" t="inlineStr">
        <is>
          <t>1999-12-09</t>
        </is>
      </c>
      <c r="F6" s="179" t="inlineStr">
        <is>
          <t>2025-03-14</t>
        </is>
      </c>
      <c r="G6" s="179" t="inlineStr">
        <is>
          <t>مستشفى الملك خالد المدني</t>
        </is>
      </c>
      <c r="H6" s="179" t="inlineStr">
        <is>
          <t>مستشفى عام</t>
        </is>
      </c>
      <c r="I6" s="179" t="inlineStr">
        <is>
          <t>الإدارة التنفيذية للمستشفيات</t>
        </is>
      </c>
      <c r="J6" s="179" t="inlineStr">
        <is>
          <t>الإدارية</t>
        </is>
      </c>
      <c r="K6" s="179" t="inlineStr">
        <is>
          <t>أخصائي جودة</t>
        </is>
      </c>
      <c r="L6" s="179" t="inlineStr">
        <is>
          <t>إداري</t>
        </is>
      </c>
      <c r="M6" s="179" t="inlineStr">
        <is>
          <t>رسمي (بند الوظائف)</t>
        </is>
      </c>
      <c r="N6" s="179" t="inlineStr">
        <is>
          <t>على رأس العمل</t>
        </is>
      </c>
      <c r="O6" s="180" t="n">
        <v>8600</v>
      </c>
      <c r="P6" s="182" t="n">
        <v>83.3</v>
      </c>
      <c r="Q6" s="179" t="inlineStr">
        <is>
          <t>دبلوم</t>
        </is>
      </c>
      <c r="R6" s="179" t="inlineStr">
        <is>
          <t>لا ينطبق</t>
        </is>
      </c>
      <c r="S6" s="179" t="n"/>
      <c r="T6" s="179" t="inlineStr">
        <is>
          <t>أخصائي جودة</t>
        </is>
      </c>
    </row>
    <row r="7">
      <c r="A7" s="191" t="n">
        <v>300325</v>
      </c>
      <c r="B7" s="183" t="inlineStr">
        <is>
          <t>مشعل الحويطي</t>
        </is>
      </c>
      <c r="C7" s="183" t="inlineStr">
        <is>
          <t>ذكر</t>
        </is>
      </c>
      <c r="D7" s="183" t="inlineStr">
        <is>
          <t>سعودي</t>
        </is>
      </c>
      <c r="E7" s="183" t="inlineStr">
        <is>
          <t>22/05/1994</t>
        </is>
      </c>
      <c r="F7" s="183" t="inlineStr">
        <is>
          <t>2020-06-26</t>
        </is>
      </c>
      <c r="G7" s="183" t="inlineStr">
        <is>
          <t>مستشفى الملك فهد التخصصي</t>
        </is>
      </c>
      <c r="H7" s="183" t="inlineStr">
        <is>
          <t>مستشفى مرجعي</t>
        </is>
      </c>
      <c r="I7" s="183" t="inlineStr">
        <is>
          <t>الإدارة التنفيذية للمستشفيات</t>
        </is>
      </c>
      <c r="J7" s="183" t="inlineStr">
        <is>
          <t xml:space="preserve">أطباء </t>
        </is>
      </c>
      <c r="K7" s="183" t="inlineStr">
        <is>
          <t>استشاري نساء وولادة</t>
        </is>
      </c>
      <c r="L7" s="183" t="inlineStr">
        <is>
          <t>استشاري</t>
        </is>
      </c>
      <c r="M7" s="183" t="inlineStr">
        <is>
          <t>رسمي (بند الوظائف)</t>
        </is>
      </c>
      <c r="N7" s="183" t="inlineStr">
        <is>
          <t>على رأس العمل</t>
        </is>
      </c>
      <c r="O7" s="184" t="n">
        <v>43800</v>
      </c>
      <c r="P7" s="186" t="n">
        <v>77.2</v>
      </c>
      <c r="Q7" s="183" t="inlineStr">
        <is>
          <t>بكالوريوس</t>
        </is>
      </c>
      <c r="R7" s="183" t="inlineStr">
        <is>
          <t>لا</t>
        </is>
      </c>
      <c r="S7" s="183" t="n"/>
      <c r="T7" s="183" t="inlineStr">
        <is>
          <t>استشاري نساء وولادة</t>
        </is>
      </c>
    </row>
    <row r="8">
      <c r="A8" s="188" t="n">
        <v>300113</v>
      </c>
      <c r="B8" s="179" t="inlineStr">
        <is>
          <t>Rajesh Kumar</t>
        </is>
      </c>
      <c r="C8" s="179" t="inlineStr">
        <is>
          <t>ذكر</t>
        </is>
      </c>
      <c r="D8" s="179" t="inlineStr">
        <is>
          <t>الهند</t>
        </is>
      </c>
      <c r="E8" s="179" t="inlineStr">
        <is>
          <t>1969-07-19</t>
        </is>
      </c>
      <c r="F8" s="179" t="inlineStr">
        <is>
          <t>2021-09-07</t>
        </is>
      </c>
      <c r="G8" s="179" t="inlineStr">
        <is>
          <t>مستشفى الملك خالد المدني</t>
        </is>
      </c>
      <c r="H8" s="179" t="inlineStr">
        <is>
          <t>مستشفى عام</t>
        </is>
      </c>
      <c r="I8" s="179" t="inlineStr">
        <is>
          <t>الإدارة التنفيذية للمستشفيات</t>
        </is>
      </c>
      <c r="J8" s="179" t="inlineStr">
        <is>
          <t>الخدمات المساندة</t>
        </is>
      </c>
      <c r="K8" s="179" t="inlineStr">
        <is>
          <t>فني صيانة</t>
        </is>
      </c>
      <c r="L8" s="179" t="inlineStr">
        <is>
          <t>مساند</t>
        </is>
      </c>
      <c r="M8" s="179" t="inlineStr">
        <is>
          <t>تشغيل ذاتي</t>
        </is>
      </c>
      <c r="N8" s="179" t="inlineStr">
        <is>
          <t>على رأس العمل</t>
        </is>
      </c>
      <c r="O8" s="180" t="n">
        <v>5050</v>
      </c>
      <c r="P8" s="182" t="n">
        <v>83.5</v>
      </c>
      <c r="Q8" s="179" t="inlineStr">
        <is>
          <t>بكالوريوس</t>
        </is>
      </c>
      <c r="R8" s="179" t="inlineStr">
        <is>
          <t>لا ينطبق</t>
        </is>
      </c>
      <c r="S8" s="179" t="n"/>
      <c r="T8" s="179" t="inlineStr">
        <is>
          <t>فني صيانة - الأجهزة الطبية</t>
        </is>
      </c>
    </row>
    <row r="9">
      <c r="A9" s="191" t="n">
        <v>300279</v>
      </c>
      <c r="B9" s="183" t="inlineStr">
        <is>
          <t>Hassan Ali</t>
        </is>
      </c>
      <c r="C9" s="183" t="inlineStr">
        <is>
          <t>ذكر</t>
        </is>
      </c>
      <c r="D9" s="183" t="inlineStr">
        <is>
          <t>السودان</t>
        </is>
      </c>
      <c r="E9" s="183" t="inlineStr">
        <is>
          <t>2011-03-04</t>
        </is>
      </c>
      <c r="F9" s="183" t="inlineStr">
        <is>
          <t>12/01/2014</t>
        </is>
      </c>
      <c r="G9" s="183" t="inlineStr">
        <is>
          <t>مستشفى الملك خالد المدني</t>
        </is>
      </c>
      <c r="H9" s="183" t="inlineStr">
        <is>
          <t>مستشفى عام</t>
        </is>
      </c>
      <c r="I9" s="183" t="inlineStr">
        <is>
          <t>الإدارة التنفيذية للمستشفيات</t>
        </is>
      </c>
      <c r="J9" s="183" t="inlineStr">
        <is>
          <t>تمريض</t>
        </is>
      </c>
      <c r="K9" s="183" t="inlineStr">
        <is>
          <t>فني تمريض عمليات</t>
        </is>
      </c>
      <c r="L9" s="183" t="inlineStr">
        <is>
          <t>فني تمريض</t>
        </is>
      </c>
      <c r="M9" s="183" t="inlineStr">
        <is>
          <t>عقود تشغيل</t>
        </is>
      </c>
      <c r="N9" s="183" t="inlineStr">
        <is>
          <t>على رأس العمل</t>
        </is>
      </c>
      <c r="O9" s="184" t="n">
        <v>9150</v>
      </c>
      <c r="P9" s="186" t="n">
        <v>73</v>
      </c>
      <c r="Q9" s="183" t="inlineStr">
        <is>
          <t>دبلوم</t>
        </is>
      </c>
      <c r="R9" s="183" t="inlineStr">
        <is>
          <t>نعم</t>
        </is>
      </c>
      <c r="S9" s="183" t="inlineStr">
        <is>
          <t>10/09/2026</t>
        </is>
      </c>
      <c r="T9" s="183" t="inlineStr">
        <is>
          <t>فني تمريض - غرف العمليات</t>
        </is>
      </c>
    </row>
    <row r="10">
      <c r="A10" s="188" t="n">
        <v>300177</v>
      </c>
      <c r="B10" s="179" t="inlineStr">
        <is>
          <t>شهد الشمري</t>
        </is>
      </c>
      <c r="C10" s="179" t="inlineStr">
        <is>
          <t>أنثى</t>
        </is>
      </c>
      <c r="D10" s="179" t="inlineStr">
        <is>
          <t>سعودية</t>
        </is>
      </c>
      <c r="E10" s="179" t="inlineStr">
        <is>
          <t>1983/04/29</t>
        </is>
      </c>
      <c r="F10" s="179" t="inlineStr">
        <is>
          <t>2023/07/13</t>
        </is>
      </c>
      <c r="G10" s="179" t="inlineStr">
        <is>
          <t>مستشفى الملك خالد المدني</t>
        </is>
      </c>
      <c r="H10" s="179" t="inlineStr">
        <is>
          <t>مستشفى عام</t>
        </is>
      </c>
      <c r="I10" s="179" t="inlineStr">
        <is>
          <t>الإدارة التنفيذية للمستشفيات</t>
        </is>
      </c>
      <c r="J10" s="179" t="inlineStr">
        <is>
          <t>تمريض</t>
        </is>
      </c>
      <c r="K10" s="179" t="inlineStr">
        <is>
          <t>أخصائي تمريض</t>
        </is>
      </c>
      <c r="L10" s="179" t="inlineStr">
        <is>
          <t>أخصائي تمريض</t>
        </is>
      </c>
      <c r="M10" s="179" t="inlineStr">
        <is>
          <t>رسمي (بند الوظائف)</t>
        </is>
      </c>
      <c r="N10" s="179" t="inlineStr">
        <is>
          <t>على رأس العمل</t>
        </is>
      </c>
      <c r="O10" s="180" t="n">
        <v>0</v>
      </c>
      <c r="P10" s="182" t="n">
        <v>84.59999999999999</v>
      </c>
      <c r="Q10" s="179" t="inlineStr">
        <is>
          <t>دبلوم</t>
        </is>
      </c>
      <c r="R10" s="179" t="inlineStr">
        <is>
          <t>نعم</t>
        </is>
      </c>
      <c r="S10" s="179" t="inlineStr">
        <is>
          <t>2027-01-25</t>
        </is>
      </c>
      <c r="T10" s="179" t="inlineStr">
        <is>
          <t>أخصائي تمريض - أقسام داخلية</t>
        </is>
      </c>
    </row>
    <row r="11">
      <c r="A11" s="191" t="n">
        <v>300142</v>
      </c>
      <c r="B11" s="183" t="inlineStr">
        <is>
          <t>لمى البلوي</t>
        </is>
      </c>
      <c r="C11" s="183" t="inlineStr">
        <is>
          <t>انثى</t>
        </is>
      </c>
      <c r="D11" s="183" t="inlineStr">
        <is>
          <t>سعودية</t>
        </is>
      </c>
      <c r="E11" s="183" t="inlineStr">
        <is>
          <t>1968/03/25</t>
        </is>
      </c>
      <c r="F11" s="183" t="inlineStr">
        <is>
          <t>14/02/2012</t>
        </is>
      </c>
      <c r="G11" s="183" t="inlineStr">
        <is>
          <t>مستشفى الملك خالد المدني</t>
        </is>
      </c>
      <c r="H11" s="183" t="inlineStr">
        <is>
          <t>مستشفى عام</t>
        </is>
      </c>
      <c r="I11" s="183" t="inlineStr">
        <is>
          <t>الإدارة التنفيذية للمستشفيات</t>
        </is>
      </c>
      <c r="J11" s="183" t="inlineStr">
        <is>
          <t>تمريض</t>
        </is>
      </c>
      <c r="K11" s="183" t="inlineStr">
        <is>
          <t>فني تمريض عمليات</t>
        </is>
      </c>
      <c r="L11" s="183" t="inlineStr">
        <is>
          <t>فني تمريض</t>
        </is>
      </c>
      <c r="M11" s="183" t="inlineStr">
        <is>
          <t>تشغيل ذاتي</t>
        </is>
      </c>
      <c r="N11" s="183" t="inlineStr">
        <is>
          <t>على رأس العمل</t>
        </is>
      </c>
      <c r="O11" s="184" t="n">
        <v>11500</v>
      </c>
      <c r="P11" s="186" t="n">
        <v>91.59999999999999</v>
      </c>
      <c r="Q11" s="183" t="inlineStr">
        <is>
          <t>ماجستير</t>
        </is>
      </c>
      <c r="R11" s="183" t="inlineStr">
        <is>
          <t>نعم</t>
        </is>
      </c>
      <c r="S11" s="183" t="inlineStr">
        <is>
          <t>11/08/2026</t>
        </is>
      </c>
      <c r="T11" s="183" t="inlineStr">
        <is>
          <t>فني تمريض - غرف العمليات</t>
        </is>
      </c>
    </row>
    <row r="12">
      <c r="A12" s="188" t="n">
        <v>300476</v>
      </c>
      <c r="B12" s="179" t="inlineStr">
        <is>
          <t>Rajesh Kumar</t>
        </is>
      </c>
      <c r="C12" s="179" t="inlineStr">
        <is>
          <t>ذكر</t>
        </is>
      </c>
      <c r="D12" s="179" t="inlineStr">
        <is>
          <t>الهند</t>
        </is>
      </c>
      <c r="E12" s="179" t="inlineStr">
        <is>
          <t>1969-01-26</t>
        </is>
      </c>
      <c r="F12" s="179" t="inlineStr">
        <is>
          <t>1996/07/13</t>
        </is>
      </c>
      <c r="G12" s="179" t="inlineStr">
        <is>
          <t>مستشفى الملك فهد التخصصي</t>
        </is>
      </c>
      <c r="H12" s="179" t="inlineStr">
        <is>
          <t>مستشفى مرجعي</t>
        </is>
      </c>
      <c r="I12" s="179" t="inlineStr">
        <is>
          <t>الإدارة التنفيذية للمستشفيات</t>
        </is>
      </c>
      <c r="J12" s="179" t="inlineStr">
        <is>
          <t>تمريض</t>
        </is>
      </c>
      <c r="K12" s="179" t="inlineStr">
        <is>
          <t>فني تمريض</t>
        </is>
      </c>
      <c r="L12" s="179" t="inlineStr">
        <is>
          <t>فني تمريض</t>
        </is>
      </c>
      <c r="M12" s="179" t="inlineStr">
        <is>
          <t>تشغيل ذاتي</t>
        </is>
      </c>
      <c r="N12" s="179" t="inlineStr">
        <is>
          <t>على رأس العمل</t>
        </is>
      </c>
      <c r="O12" s="180" t="n">
        <v>10350</v>
      </c>
      <c r="P12" s="182" t="n">
        <v>92.8</v>
      </c>
      <c r="Q12" s="179" t="inlineStr">
        <is>
          <t>بكالوريوس</t>
        </is>
      </c>
      <c r="R12" s="179" t="inlineStr">
        <is>
          <t>نعم</t>
        </is>
      </c>
      <c r="S12" s="179" t="inlineStr">
        <is>
          <t>20/06/2026</t>
        </is>
      </c>
      <c r="T12" s="179" t="inlineStr">
        <is>
          <t>فني تمريض - أقسام داخلية</t>
        </is>
      </c>
    </row>
    <row r="13">
      <c r="A13" s="191" t="n">
        <v>300375</v>
      </c>
      <c r="B13" s="183" t="inlineStr">
        <is>
          <t>عبدالله الجهني</t>
        </is>
      </c>
      <c r="C13" s="183" t="inlineStr">
        <is>
          <t>Male</t>
        </is>
      </c>
      <c r="D13" s="183" t="inlineStr">
        <is>
          <t>سعودي</t>
        </is>
      </c>
      <c r="E13" s="183" t="inlineStr">
        <is>
          <t>1977-12-26</t>
        </is>
      </c>
      <c r="F13" s="183" t="inlineStr">
        <is>
          <t>2024/05/03</t>
        </is>
      </c>
      <c r="G13" s="183" t="inlineStr">
        <is>
          <t>مستشفى الملك خالد المدني</t>
        </is>
      </c>
      <c r="H13" s="183" t="inlineStr">
        <is>
          <t>مستشفى عام</t>
        </is>
      </c>
      <c r="I13" s="183" t="inlineStr">
        <is>
          <t>الإدارة التنفيذية للمستشفيات</t>
        </is>
      </c>
      <c r="J13" s="183" t="inlineStr">
        <is>
          <t>تمريض</t>
        </is>
      </c>
      <c r="K13" s="183" t="inlineStr">
        <is>
          <t>فني تمريض عمليات</t>
        </is>
      </c>
      <c r="L13" s="183" t="inlineStr">
        <is>
          <t>فني تمريض</t>
        </is>
      </c>
      <c r="M13" s="183" t="inlineStr">
        <is>
          <t>رسمي (بند الوظائف)</t>
        </is>
      </c>
      <c r="N13" s="183" t="inlineStr">
        <is>
          <t>على رأس العمل</t>
        </is>
      </c>
      <c r="O13" s="184" t="n">
        <v>0</v>
      </c>
      <c r="P13" s="186" t="n">
        <v>85.8</v>
      </c>
      <c r="Q13" s="183" t="inlineStr">
        <is>
          <t>ماجستير</t>
        </is>
      </c>
      <c r="R13" s="183" t="inlineStr">
        <is>
          <t>نعم</t>
        </is>
      </c>
      <c r="S13" s="183" t="inlineStr">
        <is>
          <t>12/02/2028</t>
        </is>
      </c>
      <c r="T13" s="183" t="inlineStr">
        <is>
          <t>مدير الشؤون المالية</t>
        </is>
      </c>
    </row>
    <row r="14">
      <c r="A14" s="188" t="n">
        <v>300335</v>
      </c>
      <c r="B14" s="179" t="inlineStr">
        <is>
          <t>Ahmed Fathy</t>
        </is>
      </c>
      <c r="C14" s="179" t="inlineStr">
        <is>
          <t>ذ</t>
        </is>
      </c>
      <c r="D14" s="179" t="inlineStr">
        <is>
          <t>مصر</t>
        </is>
      </c>
      <c r="E14" s="179" t="inlineStr">
        <is>
          <t>24/09/1999</t>
        </is>
      </c>
      <c r="F14" s="179" t="inlineStr">
        <is>
          <t>2024/06/01</t>
        </is>
      </c>
      <c r="G14" s="179" t="inlineStr">
        <is>
          <t>مستشفى الملك خالد المدني</t>
        </is>
      </c>
      <c r="H14" s="179" t="inlineStr">
        <is>
          <t>مستشفى عام</t>
        </is>
      </c>
      <c r="I14" s="179" t="inlineStr">
        <is>
          <t>الإدارة التنفيذية للمستشفيات</t>
        </is>
      </c>
      <c r="J14" s="179" t="inlineStr">
        <is>
          <t>أطباء</t>
        </is>
      </c>
      <c r="K14" s="179" t="inlineStr">
        <is>
          <t>أخصائي طب أسرة</t>
        </is>
      </c>
      <c r="L14" s="179" t="inlineStr">
        <is>
          <t>أخصائي</t>
        </is>
      </c>
      <c r="M14" s="179" t="inlineStr">
        <is>
          <t>عقود تشغيل</t>
        </is>
      </c>
      <c r="N14" s="179" t="inlineStr">
        <is>
          <t>على رأس العمل</t>
        </is>
      </c>
      <c r="O14" s="180" t="n">
        <v>23250</v>
      </c>
      <c r="P14" s="182" t="n">
        <v>91.7</v>
      </c>
      <c r="Q14" s="179" t="inlineStr">
        <is>
          <t>بكالوريوس</t>
        </is>
      </c>
      <c r="R14" s="179" t="inlineStr">
        <is>
          <t>نعم</t>
        </is>
      </c>
      <c r="S14" s="179" t="inlineStr">
        <is>
          <t>09/07/2026</t>
        </is>
      </c>
      <c r="T14" s="179" t="inlineStr">
        <is>
          <t>أخصائي طب أسرة</t>
        </is>
      </c>
    </row>
    <row r="15">
      <c r="A15" s="191" t="n">
        <v>300169</v>
      </c>
      <c r="B15" s="183" t="inlineStr">
        <is>
          <t>أروى الزهراني</t>
        </is>
      </c>
      <c r="C15" s="183" t="inlineStr">
        <is>
          <t>أنثى</t>
        </is>
      </c>
      <c r="D15" s="183" t="inlineStr">
        <is>
          <t>سعودية</t>
        </is>
      </c>
      <c r="E15" s="183" t="inlineStr">
        <is>
          <t>1999-01-06</t>
        </is>
      </c>
      <c r="F15" s="183" t="inlineStr">
        <is>
          <t>2024-08-05</t>
        </is>
      </c>
      <c r="G15" s="183" t="inlineStr">
        <is>
          <t>مستشفى الملك خالد المدني</t>
        </is>
      </c>
      <c r="H15" s="183" t="inlineStr">
        <is>
          <t>مستشفى عام</t>
        </is>
      </c>
      <c r="I15" s="183" t="inlineStr">
        <is>
          <t>الإدارة التنفيذية للمستشفيات</t>
        </is>
      </c>
      <c r="J15" s="183" t="inlineStr">
        <is>
          <t>الصحة المساعدة</t>
        </is>
      </c>
      <c r="K15" s="183" t="inlineStr">
        <is>
          <t>أخصائي أشعة</t>
        </is>
      </c>
      <c r="L15" s="183" t="inlineStr">
        <is>
          <t>أخصائي</t>
        </is>
      </c>
      <c r="M15" s="183" t="inlineStr">
        <is>
          <t>رسمي (بند الوظائف)</t>
        </is>
      </c>
      <c r="N15" s="183" t="n"/>
      <c r="O15" s="184" t="inlineStr">
        <is>
          <t>9,900</t>
        </is>
      </c>
      <c r="P15" s="186" t="n">
        <v>92.3</v>
      </c>
      <c r="Q15" s="183" t="inlineStr">
        <is>
          <t>دبلوم</t>
        </is>
      </c>
      <c r="R15" s="183" t="inlineStr">
        <is>
          <t>نعم</t>
        </is>
      </c>
      <c r="S15" s="183" t="inlineStr">
        <is>
          <t>28/12/2028</t>
        </is>
      </c>
      <c r="T15" s="183" t="inlineStr">
        <is>
          <t>أخصائي أشعة - التصوير المقطعي</t>
        </is>
      </c>
    </row>
    <row r="16">
      <c r="A16" s="188" t="n">
        <v>300267</v>
      </c>
      <c r="B16" s="179" t="inlineStr">
        <is>
          <t>غادة القحطاني</t>
        </is>
      </c>
      <c r="C16" s="179" t="inlineStr">
        <is>
          <t>أنثى</t>
        </is>
      </c>
      <c r="D16" s="179" t="inlineStr">
        <is>
          <t>سعودية</t>
        </is>
      </c>
      <c r="E16" s="179" t="inlineStr">
        <is>
          <t>1997/10/20</t>
        </is>
      </c>
      <c r="F16" s="179" t="inlineStr">
        <is>
          <t>2024/01/06</t>
        </is>
      </c>
      <c r="G16" s="179" t="inlineStr">
        <is>
          <t>مستشفى الملك خالد المدني</t>
        </is>
      </c>
      <c r="H16" s="179" t="inlineStr">
        <is>
          <t>مستشفى عام</t>
        </is>
      </c>
      <c r="I16" s="179" t="inlineStr">
        <is>
          <t>الإدارة التنفيذية للمستشفيات</t>
        </is>
      </c>
      <c r="J16" s="179" t="inlineStr">
        <is>
          <t>أطباء</t>
        </is>
      </c>
      <c r="K16" s="179" t="inlineStr">
        <is>
          <t>طبيب مقيم</t>
        </is>
      </c>
      <c r="L16" s="179" t="inlineStr">
        <is>
          <t>طبيب مقيم</t>
        </is>
      </c>
      <c r="M16" s="179" t="inlineStr">
        <is>
          <t>رسمي (بند الوظائف)</t>
        </is>
      </c>
      <c r="N16" s="179" t="n"/>
      <c r="O16" s="180" t="n">
        <v>18350</v>
      </c>
      <c r="P16" s="182" t="n">
        <v>88.40000000000001</v>
      </c>
      <c r="Q16" s="179" t="inlineStr">
        <is>
          <t>بكالوريوس</t>
        </is>
      </c>
      <c r="R16" s="179" t="inlineStr">
        <is>
          <t>نعم</t>
        </is>
      </c>
      <c r="S16" s="179" t="inlineStr">
        <is>
          <t>18/03/2027</t>
        </is>
      </c>
      <c r="T16" s="179" t="inlineStr">
        <is>
          <t>طبيب مقيم - طوارئ</t>
        </is>
      </c>
    </row>
    <row r="17">
      <c r="A17" s="191" t="n">
        <v>300462</v>
      </c>
      <c r="B17" s="183" t="inlineStr">
        <is>
          <t>Ahmed Fathy</t>
        </is>
      </c>
      <c r="C17" s="183" t="inlineStr">
        <is>
          <t>ذكر</t>
        </is>
      </c>
      <c r="D17" s="183" t="inlineStr">
        <is>
          <t>مصر</t>
        </is>
      </c>
      <c r="E17" s="183" t="inlineStr">
        <is>
          <t>1994-04-28</t>
        </is>
      </c>
      <c r="F17" s="183" t="inlineStr">
        <is>
          <t>2025-10-16</t>
        </is>
      </c>
      <c r="G17" s="183" t="inlineStr">
        <is>
          <t>مستشفى الملك فهد التخصصي</t>
        </is>
      </c>
      <c r="H17" s="183" t="inlineStr">
        <is>
          <t>مستشفى مرجعي</t>
        </is>
      </c>
      <c r="I17" s="183" t="inlineStr">
        <is>
          <t>الإدارة التنفيذية للمستشفيات</t>
        </is>
      </c>
      <c r="J17" s="183" t="inlineStr">
        <is>
          <t>أطباء</t>
        </is>
      </c>
      <c r="K17" s="183" t="inlineStr">
        <is>
          <t>أخصائي باطنة</t>
        </is>
      </c>
      <c r="L17" s="183" t="inlineStr">
        <is>
          <t>أخصائي</t>
        </is>
      </c>
      <c r="M17" s="183" t="inlineStr">
        <is>
          <t>رسمي (بند الوظائف)</t>
        </is>
      </c>
      <c r="N17" s="183" t="inlineStr">
        <is>
          <t>على رأس العمل</t>
        </is>
      </c>
      <c r="O17" s="184" t="n">
        <v>24350</v>
      </c>
      <c r="P17" s="186" t="n">
        <v>83.2</v>
      </c>
      <c r="Q17" s="183" t="inlineStr">
        <is>
          <t>بكالوريوس</t>
        </is>
      </c>
      <c r="R17" s="183" t="inlineStr">
        <is>
          <t>نعم</t>
        </is>
      </c>
      <c r="S17" s="183" t="inlineStr">
        <is>
          <t>2028-10-16</t>
        </is>
      </c>
      <c r="T17" s="183" t="inlineStr">
        <is>
          <t>أخصائي باطنة</t>
        </is>
      </c>
    </row>
    <row r="18">
      <c r="A18" s="188" t="n">
        <v>300462</v>
      </c>
      <c r="B18" s="179" t="inlineStr">
        <is>
          <t>Ahmed Fathy</t>
        </is>
      </c>
      <c r="C18" s="179" t="inlineStr">
        <is>
          <t>ذكر</t>
        </is>
      </c>
      <c r="D18" s="179" t="inlineStr">
        <is>
          <t>مصر</t>
        </is>
      </c>
      <c r="E18" s="179" t="inlineStr">
        <is>
          <t>1994/04/28</t>
        </is>
      </c>
      <c r="F18" s="179" t="inlineStr">
        <is>
          <t>2025/10/16</t>
        </is>
      </c>
      <c r="G18" s="179" t="inlineStr">
        <is>
          <t>مستشفى الملك فهد التخصصي</t>
        </is>
      </c>
      <c r="H18" s="179" t="inlineStr">
        <is>
          <t>مستشفى مرجعي</t>
        </is>
      </c>
      <c r="I18" s="179" t="inlineStr">
        <is>
          <t>الإدارة التنفيذية للمستشفيات</t>
        </is>
      </c>
      <c r="J18" s="179" t="inlineStr">
        <is>
          <t>أطباء</t>
        </is>
      </c>
      <c r="K18" s="179" t="inlineStr">
        <is>
          <t>أخصائي باطنة</t>
        </is>
      </c>
      <c r="L18" s="179" t="inlineStr">
        <is>
          <t>أخصائي</t>
        </is>
      </c>
      <c r="M18" s="179" t="inlineStr">
        <is>
          <t>رسمي (بند الوظائف)</t>
        </is>
      </c>
      <c r="N18" s="179" t="inlineStr">
        <is>
          <t>على رأس العمل</t>
        </is>
      </c>
      <c r="O18" s="180" t="n">
        <v>24350</v>
      </c>
      <c r="P18" s="182" t="n">
        <v>83.2</v>
      </c>
      <c r="Q18" s="179" t="inlineStr">
        <is>
          <t>بكالوريوس</t>
        </is>
      </c>
      <c r="R18" s="179" t="inlineStr">
        <is>
          <t>نعم</t>
        </is>
      </c>
      <c r="S18" s="179" t="inlineStr">
        <is>
          <t>16/10/2028</t>
        </is>
      </c>
      <c r="T18" s="179" t="inlineStr">
        <is>
          <t>أخصائي باطنة</t>
        </is>
      </c>
    </row>
    <row r="19">
      <c r="A19" s="191" t="n">
        <v>300217</v>
      </c>
      <c r="B19" s="183" t="inlineStr">
        <is>
          <t>ناصر الصاعدي</t>
        </is>
      </c>
      <c r="C19" s="183" t="inlineStr">
        <is>
          <t>ذكر</t>
        </is>
      </c>
      <c r="D19" s="183" t="inlineStr">
        <is>
          <t>سعودي</t>
        </is>
      </c>
      <c r="E19" s="183" t="inlineStr">
        <is>
          <t>1990-12-15</t>
        </is>
      </c>
      <c r="F19" s="183" t="inlineStr">
        <is>
          <t>2022-07-31</t>
        </is>
      </c>
      <c r="G19" s="183" t="inlineStr">
        <is>
          <t>مستشفى الملك خالد المدني</t>
        </is>
      </c>
      <c r="H19" s="183" t="inlineStr">
        <is>
          <t>مستشفى عام</t>
        </is>
      </c>
      <c r="I19" s="183" t="inlineStr">
        <is>
          <t>الإدارة التنفيذية للمستشفيات</t>
        </is>
      </c>
      <c r="J19" s="183" t="inlineStr">
        <is>
          <t>أطباء</t>
        </is>
      </c>
      <c r="K19" s="183" t="inlineStr">
        <is>
          <t>طبيب مقيم</t>
        </is>
      </c>
      <c r="L19" s="183" t="inlineStr">
        <is>
          <t>طبيب مقيم</t>
        </is>
      </c>
      <c r="M19" s="183" t="inlineStr">
        <is>
          <t>تشغيل ذاتي</t>
        </is>
      </c>
      <c r="N19" s="183" t="inlineStr">
        <is>
          <t>على رأس العمل</t>
        </is>
      </c>
      <c r="O19" s="184" t="n">
        <v>15800</v>
      </c>
      <c r="P19" s="186" t="n">
        <v>-3</v>
      </c>
      <c r="Q19" s="183" t="inlineStr">
        <is>
          <t>بكالوريوس</t>
        </is>
      </c>
      <c r="R19" s="183" t="inlineStr">
        <is>
          <t>نعم</t>
        </is>
      </c>
      <c r="S19" s="183" t="inlineStr">
        <is>
          <t>24/06/2026</t>
        </is>
      </c>
      <c r="T19" s="183" t="inlineStr">
        <is>
          <t>سائق إسعاف</t>
        </is>
      </c>
    </row>
    <row r="20">
      <c r="A20" s="188" t="n">
        <v>300394</v>
      </c>
      <c r="B20" s="179" t="inlineStr">
        <is>
          <t>مها القحطاني</t>
        </is>
      </c>
      <c r="C20" s="179" t="inlineStr">
        <is>
          <t>أنثى</t>
        </is>
      </c>
      <c r="D20" s="179" t="inlineStr">
        <is>
          <t>SAU</t>
        </is>
      </c>
      <c r="E20" s="179" t="inlineStr">
        <is>
          <t>23/07/1999</t>
        </is>
      </c>
      <c r="F20" s="179" t="inlineStr">
        <is>
          <t>2025/10/01</t>
        </is>
      </c>
      <c r="G20" s="179" t="inlineStr">
        <is>
          <t>مستشفى الملك خالد المدني</t>
        </is>
      </c>
      <c r="H20" s="179" t="inlineStr">
        <is>
          <t>مستشفى عام</t>
        </is>
      </c>
      <c r="I20" s="179" t="inlineStr">
        <is>
          <t>الإدارة التنفيذية للمستشفيات</t>
        </is>
      </c>
      <c r="J20" s="179" t="inlineStr">
        <is>
          <t>تمريض</t>
        </is>
      </c>
      <c r="K20" s="179" t="inlineStr">
        <is>
          <t>فني تمريض</t>
        </is>
      </c>
      <c r="L20" s="179" t="inlineStr">
        <is>
          <t>فني تمريض</t>
        </is>
      </c>
      <c r="M20" s="179" t="inlineStr">
        <is>
          <t>بند الأجور</t>
        </is>
      </c>
      <c r="N20" s="179" t="inlineStr">
        <is>
          <t>إجازة اضطرارية طويلة</t>
        </is>
      </c>
      <c r="O20" s="180" t="inlineStr">
        <is>
          <t>10,850</t>
        </is>
      </c>
      <c r="P20" s="182" t="n">
        <v>98</v>
      </c>
      <c r="Q20" s="179" t="inlineStr">
        <is>
          <t>بكالوريوس</t>
        </is>
      </c>
      <c r="R20" s="179" t="inlineStr">
        <is>
          <t>نعم</t>
        </is>
      </c>
      <c r="S20" s="179" t="inlineStr">
        <is>
          <t>2027-09-11</t>
        </is>
      </c>
      <c r="T20" s="179" t="inlineStr">
        <is>
          <t>فني تمريض - أقسام داخلية</t>
        </is>
      </c>
    </row>
    <row r="21">
      <c r="A21" s="191" t="n">
        <v>300378</v>
      </c>
      <c r="B21" s="183" t="inlineStr">
        <is>
          <t>Fatima Noor</t>
        </is>
      </c>
      <c r="C21" s="183" t="inlineStr">
        <is>
          <t>أنثى</t>
        </is>
      </c>
      <c r="D21" s="183" t="inlineStr">
        <is>
          <t>باكستان</t>
        </is>
      </c>
      <c r="E21" s="183" t="inlineStr">
        <is>
          <t>1985-12-25</t>
        </is>
      </c>
      <c r="F21" s="183" t="inlineStr">
        <is>
          <t>2020-12-03</t>
        </is>
      </c>
      <c r="G21" s="183" t="inlineStr">
        <is>
          <t>مستشفى الملك خالد المدني</t>
        </is>
      </c>
      <c r="H21" s="183" t="inlineStr">
        <is>
          <t>مستشفى عام</t>
        </is>
      </c>
      <c r="I21" s="183" t="inlineStr">
        <is>
          <t>الإدارة التنفيذية للمستشفيات</t>
        </is>
      </c>
      <c r="J21" s="183" t="inlineStr">
        <is>
          <t>الخدمات المساندة</t>
        </is>
      </c>
      <c r="K21" s="183" t="inlineStr">
        <is>
          <t>سائق إسعاف</t>
        </is>
      </c>
      <c r="L21" s="183" t="inlineStr">
        <is>
          <t>مساند</t>
        </is>
      </c>
      <c r="M21" s="183" t="inlineStr">
        <is>
          <t>تشغيل ذاتي</t>
        </is>
      </c>
      <c r="N21" s="183" t="inlineStr">
        <is>
          <t>على رأس العمل</t>
        </is>
      </c>
      <c r="O21" s="184" t="n">
        <v>6400</v>
      </c>
      <c r="P21" s="186" t="n">
        <v>84.3</v>
      </c>
      <c r="Q21" s="183" t="inlineStr">
        <is>
          <t>بكالوريوس</t>
        </is>
      </c>
      <c r="R21" s="183" t="inlineStr">
        <is>
          <t>لا ينطبق</t>
        </is>
      </c>
      <c r="S21" s="183" t="n"/>
      <c r="T21" s="183" t="inlineStr">
        <is>
          <t>سائق إسعاف</t>
        </is>
      </c>
    </row>
    <row r="22">
      <c r="A22" s="188" t="n">
        <v>300466</v>
      </c>
      <c r="B22" s="179" t="inlineStr">
        <is>
          <t>Ahmed Fathy</t>
        </is>
      </c>
      <c r="C22" s="179" t="inlineStr">
        <is>
          <t>ذكر</t>
        </is>
      </c>
      <c r="D22" s="179" t="inlineStr">
        <is>
          <t>مصر</t>
        </is>
      </c>
      <c r="E22" s="179" t="inlineStr">
        <is>
          <t>06/07/1991</t>
        </is>
      </c>
      <c r="F22" s="179" t="inlineStr">
        <is>
          <t>2019-08-13</t>
        </is>
      </c>
      <c r="G22" s="179" t="inlineStr">
        <is>
          <t>مستشفى الملك فهد التخصصي</t>
        </is>
      </c>
      <c r="H22" s="179" t="inlineStr">
        <is>
          <t>مستشفى مرجعي</t>
        </is>
      </c>
      <c r="I22" s="179" t="inlineStr">
        <is>
          <t>الإدارة التنفيذية للمستشفيات</t>
        </is>
      </c>
      <c r="J22" s="179" t="inlineStr">
        <is>
          <t>الخدمات المساندة</t>
        </is>
      </c>
      <c r="K22" s="179" t="inlineStr">
        <is>
          <t>أمين مستودع</t>
        </is>
      </c>
      <c r="L22" s="179" t="inlineStr">
        <is>
          <t>مساند</t>
        </is>
      </c>
      <c r="M22" s="179" t="inlineStr">
        <is>
          <t>رسمي (بند الوظائف)</t>
        </is>
      </c>
      <c r="N22" s="179" t="inlineStr">
        <is>
          <t>إجازة اضطرارية طويلة</t>
        </is>
      </c>
      <c r="O22" s="180" t="n">
        <v>5800</v>
      </c>
      <c r="P22" s="182" t="n">
        <v>89.8</v>
      </c>
      <c r="Q22" s="179" t="inlineStr">
        <is>
          <t>ثانوية عامة</t>
        </is>
      </c>
      <c r="R22" s="179" t="inlineStr">
        <is>
          <t>لا ينطبق</t>
        </is>
      </c>
      <c r="S22" s="179" t="n"/>
      <c r="T22" s="179" t="inlineStr">
        <is>
          <t>أمين مستودع</t>
        </is>
      </c>
    </row>
    <row r="23">
      <c r="A23" s="191" t="n">
        <v>300436</v>
      </c>
      <c r="B23" s="183" t="inlineStr">
        <is>
          <t>عبدالله الجهني</t>
        </is>
      </c>
      <c r="C23" s="183" t="inlineStr">
        <is>
          <t>ذكر</t>
        </is>
      </c>
      <c r="D23" s="183" t="inlineStr">
        <is>
          <t>سعودي</t>
        </is>
      </c>
      <c r="E23" s="183" t="inlineStr">
        <is>
          <t>1993-12-17</t>
        </is>
      </c>
      <c r="F23" s="183" t="inlineStr">
        <is>
          <t>2018/02/03</t>
        </is>
      </c>
      <c r="G23" s="183" t="inlineStr">
        <is>
          <t>مركز صحي المروج</t>
        </is>
      </c>
      <c r="H23" s="183" t="inlineStr">
        <is>
          <t>مركز رعاية أولية</t>
        </is>
      </c>
      <c r="I23" s="183" t="inlineStr">
        <is>
          <t>الإدارة التنفيذية للرعاية الصحية الأولية</t>
        </is>
      </c>
      <c r="J23" s="183" t="inlineStr">
        <is>
          <t>تمريض</t>
        </is>
      </c>
      <c r="K23" s="183" t="inlineStr">
        <is>
          <t>مشرف تمريض</t>
        </is>
      </c>
      <c r="L23" s="183" t="inlineStr">
        <is>
          <t>أخصائي تمريض</t>
        </is>
      </c>
      <c r="M23" s="183" t="inlineStr">
        <is>
          <t>عقود تشغيل</t>
        </is>
      </c>
      <c r="N23" s="183" t="inlineStr">
        <is>
          <t>على رأس العمل</t>
        </is>
      </c>
      <c r="O23" s="184" t="n">
        <v>13050</v>
      </c>
      <c r="P23" s="186" t="n">
        <v>86.2</v>
      </c>
      <c r="Q23" s="183" t="inlineStr">
        <is>
          <t>بكالوريوس</t>
        </is>
      </c>
      <c r="R23" s="183" t="inlineStr">
        <is>
          <t>نعم</t>
        </is>
      </c>
      <c r="S23" s="183" t="inlineStr">
        <is>
          <t>2026-08-16</t>
        </is>
      </c>
      <c r="T23" s="183" t="inlineStr">
        <is>
          <t>مشرف تمريض</t>
        </is>
      </c>
    </row>
    <row r="24">
      <c r="A24" s="188" t="n">
        <v>300340</v>
      </c>
      <c r="B24" s="179" t="inlineStr">
        <is>
          <t>Maria Santos</t>
        </is>
      </c>
      <c r="C24" s="179" t="inlineStr">
        <is>
          <t>أنثى</t>
        </is>
      </c>
      <c r="D24" s="179" t="inlineStr">
        <is>
          <t>الفلبين</t>
        </is>
      </c>
      <c r="E24" s="179" t="inlineStr">
        <is>
          <t>1983/04/14</t>
        </is>
      </c>
      <c r="F24" s="179" t="inlineStr">
        <is>
          <t>2007-03-28</t>
        </is>
      </c>
      <c r="G24" s="179" t="inlineStr">
        <is>
          <t>مستشفى ضباء العام</t>
        </is>
      </c>
      <c r="H24" s="179" t="inlineStr">
        <is>
          <t>مستشفى عام</t>
        </is>
      </c>
      <c r="I24" s="179" t="inlineStr">
        <is>
          <t>الإدارة التنفيذية للمستشفيات</t>
        </is>
      </c>
      <c r="J24" s="179" t="inlineStr">
        <is>
          <t>تمريض</t>
        </is>
      </c>
      <c r="K24" s="179" t="inlineStr">
        <is>
          <t>أخصائي تمريض</t>
        </is>
      </c>
      <c r="L24" s="179" t="inlineStr">
        <is>
          <t>أخصائي تمريض</t>
        </is>
      </c>
      <c r="M24" s="179" t="inlineStr">
        <is>
          <t>رسمي (بند الوظائف)</t>
        </is>
      </c>
      <c r="N24" s="179" t="inlineStr">
        <is>
          <t>على رأس العمل</t>
        </is>
      </c>
      <c r="O24" s="180" t="n">
        <v>11450</v>
      </c>
      <c r="P24" s="182" t="n">
        <v>93.7</v>
      </c>
      <c r="Q24" s="179" t="inlineStr">
        <is>
          <t>دبلوم</t>
        </is>
      </c>
      <c r="R24" s="179" t="inlineStr">
        <is>
          <t>نعم</t>
        </is>
      </c>
      <c r="S24" s="179" t="inlineStr">
        <is>
          <t>04/07/2028</t>
        </is>
      </c>
      <c r="T24" s="179" t="inlineStr">
        <is>
          <t>أخصائي تمريض - أقسام داخلية</t>
        </is>
      </c>
    </row>
    <row r="25">
      <c r="A25" s="191" t="n">
        <v>300220</v>
      </c>
      <c r="B25" s="183" t="inlineStr">
        <is>
          <t>سعود الزهراني</t>
        </is>
      </c>
      <c r="C25" s="183" t="inlineStr">
        <is>
          <t>ذكر</t>
        </is>
      </c>
      <c r="D25" s="183" t="inlineStr">
        <is>
          <t>سعودي</t>
        </is>
      </c>
      <c r="E25" s="183" t="inlineStr">
        <is>
          <t>1989/02/07</t>
        </is>
      </c>
      <c r="F25" s="183" t="inlineStr">
        <is>
          <t>2016-08-18</t>
        </is>
      </c>
      <c r="G25" s="183" t="inlineStr">
        <is>
          <t>مستشفى الملك فهد التخصصي</t>
        </is>
      </c>
      <c r="H25" s="183" t="inlineStr">
        <is>
          <t>مستشفى مرجعي</t>
        </is>
      </c>
      <c r="I25" s="183" t="inlineStr">
        <is>
          <t>الإدارة التنفيذية للمستشفيات</t>
        </is>
      </c>
      <c r="J25" s="183" t="inlineStr">
        <is>
          <t>أطباء</t>
        </is>
      </c>
      <c r="K25" s="183" t="inlineStr">
        <is>
          <t>أخصائي باطنة</t>
        </is>
      </c>
      <c r="L25" s="183" t="inlineStr">
        <is>
          <t>أخصائي</t>
        </is>
      </c>
      <c r="M25" s="183" t="inlineStr">
        <is>
          <t>بند الأجور</t>
        </is>
      </c>
      <c r="N25" s="183" t="inlineStr">
        <is>
          <t>منتهي الخدمة</t>
        </is>
      </c>
      <c r="O25" s="184" t="n">
        <v>20600</v>
      </c>
      <c r="P25" s="186" t="n">
        <v>86.7</v>
      </c>
      <c r="Q25" s="183" t="inlineStr">
        <is>
          <t>ماجستير</t>
        </is>
      </c>
      <c r="R25" s="183" t="inlineStr">
        <is>
          <t>نعم</t>
        </is>
      </c>
      <c r="S25" s="183" t="inlineStr">
        <is>
          <t>2027-06-05</t>
        </is>
      </c>
      <c r="T25" s="183" t="inlineStr">
        <is>
          <t>أخصائي باطنة</t>
        </is>
      </c>
    </row>
    <row r="26">
      <c r="A26" s="188" t="n">
        <v>300105</v>
      </c>
      <c r="B26" s="179" t="inlineStr">
        <is>
          <t>Anita Sharma</t>
        </is>
      </c>
      <c r="C26" s="179" t="inlineStr">
        <is>
          <t>أنثى</t>
        </is>
      </c>
      <c r="D26" s="179" t="inlineStr">
        <is>
          <t>الهند</t>
        </is>
      </c>
      <c r="E26" s="179" t="inlineStr">
        <is>
          <t>2000-09-06</t>
        </is>
      </c>
      <c r="F26" s="179" t="inlineStr">
        <is>
          <t>2025/12/08</t>
        </is>
      </c>
      <c r="G26" s="179" t="inlineStr">
        <is>
          <t>مستشفى الملك فهد التخصصي</t>
        </is>
      </c>
      <c r="H26" s="179" t="inlineStr">
        <is>
          <t>مستشفى مرجعي</t>
        </is>
      </c>
      <c r="I26" s="179" t="inlineStr">
        <is>
          <t>الإدارة التنفيذية للمستشفيات</t>
        </is>
      </c>
      <c r="J26" s="179" t="inlineStr">
        <is>
          <t>أطباء</t>
        </is>
      </c>
      <c r="K26" s="179" t="inlineStr">
        <is>
          <t>أخصائي طب أسرة</t>
        </is>
      </c>
      <c r="L26" s="179" t="inlineStr">
        <is>
          <t>أخصائي</t>
        </is>
      </c>
      <c r="M26" s="179" t="inlineStr">
        <is>
          <t>رسمي (بند الوظائف)</t>
        </is>
      </c>
      <c r="N26" s="179" t="inlineStr">
        <is>
          <t>على رأس العمل</t>
        </is>
      </c>
      <c r="O26" s="180" t="n">
        <v>15150</v>
      </c>
      <c r="P26" s="182" t="n">
        <v>91.90000000000001</v>
      </c>
      <c r="Q26" s="179" t="inlineStr">
        <is>
          <t>بكالوريوس</t>
        </is>
      </c>
      <c r="R26" s="179" t="inlineStr">
        <is>
          <t>نعم</t>
        </is>
      </c>
      <c r="S26" s="179" t="inlineStr">
        <is>
          <t>2026-05-06</t>
        </is>
      </c>
      <c r="T26" s="179" t="inlineStr">
        <is>
          <t>أخصائي طب أسرة</t>
        </is>
      </c>
    </row>
    <row r="27">
      <c r="A27" s="191" t="n">
        <v>300304</v>
      </c>
      <c r="B27" s="183" t="inlineStr">
        <is>
          <t>ناصر الحويطي</t>
        </is>
      </c>
      <c r="C27" s="183" t="inlineStr">
        <is>
          <t>ذكر</t>
        </is>
      </c>
      <c r="D27" s="183" t="inlineStr">
        <is>
          <t>سعودي</t>
        </is>
      </c>
      <c r="E27" s="183" t="inlineStr">
        <is>
          <t>1998-03-04</t>
        </is>
      </c>
      <c r="F27" s="183" t="inlineStr">
        <is>
          <t>30/05/2022</t>
        </is>
      </c>
      <c r="G27" s="183" t="inlineStr">
        <is>
          <t>مستشفى ضباء</t>
        </is>
      </c>
      <c r="H27" s="183" t="inlineStr">
        <is>
          <t>مستشفى عام</t>
        </is>
      </c>
      <c r="I27" s="183" t="inlineStr">
        <is>
          <t>الإدارة التنفيذية للمستشفيات</t>
        </is>
      </c>
      <c r="J27" s="183" t="inlineStr">
        <is>
          <t xml:space="preserve">الصحة المساعدة </t>
        </is>
      </c>
      <c r="K27" s="183" t="inlineStr">
        <is>
          <t>فني صيدلة</t>
        </is>
      </c>
      <c r="L27" s="183" t="inlineStr">
        <is>
          <t>فني</t>
        </is>
      </c>
      <c r="M27" s="183" t="inlineStr">
        <is>
          <t>رسمي (بند الوظائف)</t>
        </is>
      </c>
      <c r="N27" s="183" t="n"/>
      <c r="O27" s="184" t="n">
        <v>7900</v>
      </c>
      <c r="P27" s="186" t="n">
        <v>93.09999999999999</v>
      </c>
      <c r="Q27" s="183" t="inlineStr">
        <is>
          <t>دبلوم</t>
        </is>
      </c>
      <c r="R27" s="183" t="inlineStr">
        <is>
          <t>نعم</t>
        </is>
      </c>
      <c r="S27" s="183" t="inlineStr">
        <is>
          <t>01/08/2025</t>
        </is>
      </c>
      <c r="T27" s="183" t="inlineStr">
        <is>
          <t>فني صيدلة</t>
        </is>
      </c>
    </row>
    <row r="28">
      <c r="A28" s="188" t="n">
        <v>300452</v>
      </c>
      <c r="B28" s="179" t="inlineStr">
        <is>
          <t>Ahmed Fathy</t>
        </is>
      </c>
      <c r="C28" s="179" t="inlineStr">
        <is>
          <t>ذكر</t>
        </is>
      </c>
      <c r="D28" s="179" t="inlineStr">
        <is>
          <t>مصر</t>
        </is>
      </c>
      <c r="E28" s="179" t="inlineStr">
        <is>
          <t>02/03/1993</t>
        </is>
      </c>
      <c r="F28" s="179" t="inlineStr">
        <is>
          <t>2025/12/24</t>
        </is>
      </c>
      <c r="G28" s="179" t="inlineStr">
        <is>
          <t>مركز صحي المروج</t>
        </is>
      </c>
      <c r="H28" s="179" t="inlineStr">
        <is>
          <t>مركز رعاية أولية</t>
        </is>
      </c>
      <c r="I28" s="179" t="inlineStr">
        <is>
          <t>الإدارة التنفيذية للرعاية الصحية الأولية</t>
        </is>
      </c>
      <c r="J28" s="179" t="inlineStr">
        <is>
          <t>تمريض</t>
        </is>
      </c>
      <c r="K28" s="179" t="inlineStr">
        <is>
          <t>أخصائي تمريض</t>
        </is>
      </c>
      <c r="L28" s="179" t="inlineStr">
        <is>
          <t>أخصائي تمريض</t>
        </is>
      </c>
      <c r="M28" s="179" t="inlineStr">
        <is>
          <t>رسمي (بند الوظائف)</t>
        </is>
      </c>
      <c r="N28" s="179" t="inlineStr">
        <is>
          <t>على رأس العمل</t>
        </is>
      </c>
      <c r="O28" s="180" t="n">
        <v>7400</v>
      </c>
      <c r="P28" s="182" t="n">
        <v>68.59999999999999</v>
      </c>
      <c r="Q28" s="179" t="inlineStr">
        <is>
          <t>ماجستير</t>
        </is>
      </c>
      <c r="R28" s="179" t="inlineStr">
        <is>
          <t>نعم</t>
        </is>
      </c>
      <c r="S28" s="179" t="inlineStr">
        <is>
          <t>14/02/2026</t>
        </is>
      </c>
      <c r="T28" s="179" t="inlineStr">
        <is>
          <t>استشاري جراحة عامة</t>
        </is>
      </c>
    </row>
    <row r="29">
      <c r="A29" s="191" t="n">
        <v>300195</v>
      </c>
      <c r="B29" s="183" t="inlineStr">
        <is>
          <t>نورة الغامدي</t>
        </is>
      </c>
      <c r="C29" s="183" t="inlineStr">
        <is>
          <t>أنثى</t>
        </is>
      </c>
      <c r="D29" s="183" t="inlineStr">
        <is>
          <t>سعودية</t>
        </is>
      </c>
      <c r="E29" s="183" t="inlineStr">
        <is>
          <t>09/09/1993</t>
        </is>
      </c>
      <c r="F29" s="183" t="inlineStr">
        <is>
          <t>2017-01-10</t>
        </is>
      </c>
      <c r="G29" s="183" t="inlineStr">
        <is>
          <t>مركز صحي المروج</t>
        </is>
      </c>
      <c r="H29" s="183" t="inlineStr">
        <is>
          <t>مركز رعاية أولية</t>
        </is>
      </c>
      <c r="I29" s="183" t="inlineStr">
        <is>
          <t>الإدارة التنفيذية للرعاية الصحية الأولية</t>
        </is>
      </c>
      <c r="J29" s="183" t="inlineStr">
        <is>
          <t>تمريض</t>
        </is>
      </c>
      <c r="K29" s="183" t="inlineStr">
        <is>
          <t>فني تمريض</t>
        </is>
      </c>
      <c r="L29" s="183" t="inlineStr">
        <is>
          <t>فني تمريض</t>
        </is>
      </c>
      <c r="M29" s="183" t="inlineStr">
        <is>
          <t>رسمي (بند الوظائف)</t>
        </is>
      </c>
      <c r="N29" s="183" t="inlineStr">
        <is>
          <t>على رأس العمل</t>
        </is>
      </c>
      <c r="O29" s="184" t="n">
        <v>12950</v>
      </c>
      <c r="P29" s="186" t="n">
        <v>70.7</v>
      </c>
      <c r="Q29" s="183" t="inlineStr">
        <is>
          <t>ماجستير</t>
        </is>
      </c>
      <c r="R29" s="183" t="inlineStr">
        <is>
          <t>نعم</t>
        </is>
      </c>
      <c r="S29" s="183" t="inlineStr">
        <is>
          <t>2027-01-31</t>
        </is>
      </c>
      <c r="T29" s="183" t="inlineStr">
        <is>
          <t>فني تمريض - رعاية أولية</t>
        </is>
      </c>
    </row>
    <row r="30">
      <c r="A30" s="188" t="n">
        <v>300153</v>
      </c>
      <c r="B30" s="179" t="inlineStr">
        <is>
          <t>نورة الصاعدي</t>
        </is>
      </c>
      <c r="C30" s="179" t="inlineStr">
        <is>
          <t>أنثى</t>
        </is>
      </c>
      <c r="D30" s="179" t="inlineStr">
        <is>
          <t>سعودية</t>
        </is>
      </c>
      <c r="E30" s="179" t="inlineStr">
        <is>
          <t>10/11/1998</t>
        </is>
      </c>
      <c r="F30" s="179" t="inlineStr">
        <is>
          <t>2022-07-19</t>
        </is>
      </c>
      <c r="G30" s="179" t="inlineStr">
        <is>
          <t>مستشفى الملك خالد المدني</t>
        </is>
      </c>
      <c r="H30" s="179" t="inlineStr">
        <is>
          <t>مستشفى عام</t>
        </is>
      </c>
      <c r="I30" s="179" t="inlineStr">
        <is>
          <t>الإدارة التنفيذية للمستشفيات</t>
        </is>
      </c>
      <c r="J30" s="179" t="inlineStr">
        <is>
          <t>الخدمات المعاونة</t>
        </is>
      </c>
      <c r="K30" s="179" t="inlineStr">
        <is>
          <t>أمين مستودع</t>
        </is>
      </c>
      <c r="L30" s="179" t="inlineStr">
        <is>
          <t>مساند</t>
        </is>
      </c>
      <c r="M30" s="179" t="inlineStr">
        <is>
          <t>رسمي (بند الوظائف)</t>
        </is>
      </c>
      <c r="N30" s="179" t="inlineStr">
        <is>
          <t>على رأس العمل</t>
        </is>
      </c>
      <c r="O30" s="180" t="n">
        <v>5100</v>
      </c>
      <c r="P30" s="182" t="n">
        <v>98</v>
      </c>
      <c r="Q30" s="179" t="inlineStr">
        <is>
          <t>بكالوريوس</t>
        </is>
      </c>
      <c r="R30" s="179" t="inlineStr">
        <is>
          <t>لا ينطبق</t>
        </is>
      </c>
      <c r="S30" s="179" t="n"/>
      <c r="T30" s="179" t="inlineStr">
        <is>
          <t>أمين مستودع</t>
        </is>
      </c>
    </row>
    <row r="31">
      <c r="A31" s="191" t="n">
        <v>300120</v>
      </c>
      <c r="B31" s="183" t="inlineStr">
        <is>
          <t>Joseph Cruz</t>
        </is>
      </c>
      <c r="C31" s="183" t="inlineStr">
        <is>
          <t>ذكر</t>
        </is>
      </c>
      <c r="D31" s="183" t="inlineStr">
        <is>
          <t>الفلبين</t>
        </is>
      </c>
      <c r="E31" s="183" t="inlineStr">
        <is>
          <t>1995-03-11</t>
        </is>
      </c>
      <c r="F31" s="183" t="inlineStr">
        <is>
          <t>2019-01-29</t>
        </is>
      </c>
      <c r="G31" s="183" t="inlineStr">
        <is>
          <t xml:space="preserve">مستشفى الملك فهد التخصصي </t>
        </is>
      </c>
      <c r="H31" s="183" t="inlineStr">
        <is>
          <t>مستشفى مرجعي</t>
        </is>
      </c>
      <c r="I31" s="183" t="inlineStr">
        <is>
          <t>الإدارة التنفيذية للمستشفيات</t>
        </is>
      </c>
      <c r="J31" s="183" t="inlineStr">
        <is>
          <t xml:space="preserve">تمريض </t>
        </is>
      </c>
      <c r="K31" s="183" t="inlineStr">
        <is>
          <t>مشرف تمريض</t>
        </is>
      </c>
      <c r="L31" s="183" t="inlineStr">
        <is>
          <t>أخصائي تمريض</t>
        </is>
      </c>
      <c r="M31" s="183" t="inlineStr">
        <is>
          <t>عقود تشغيل</t>
        </is>
      </c>
      <c r="N31" s="183" t="inlineStr">
        <is>
          <t>على رأس العمل</t>
        </is>
      </c>
      <c r="O31" s="184" t="n">
        <v>8300</v>
      </c>
      <c r="P31" s="186" t="n">
        <v>79.8</v>
      </c>
      <c r="Q31" s="183" t="inlineStr">
        <is>
          <t>دبلوم</t>
        </is>
      </c>
      <c r="R31" s="183" t="inlineStr">
        <is>
          <t>نعم</t>
        </is>
      </c>
      <c r="S31" s="183" t="inlineStr">
        <is>
          <t>28/11/2027</t>
        </is>
      </c>
      <c r="T31" s="183" t="inlineStr">
        <is>
          <t>مشرف تمريض</t>
        </is>
      </c>
    </row>
    <row r="32">
      <c r="A32" s="188" t="n">
        <v>300406</v>
      </c>
      <c r="B32" s="179" t="inlineStr">
        <is>
          <t>Layla Mansour</t>
        </is>
      </c>
      <c r="C32" s="179" t="inlineStr">
        <is>
          <t>أنثى</t>
        </is>
      </c>
      <c r="D32" s="179" t="inlineStr">
        <is>
          <t>سوريا</t>
        </is>
      </c>
      <c r="E32" s="179" t="inlineStr">
        <is>
          <t>1973/06/07</t>
        </is>
      </c>
      <c r="F32" s="179" t="inlineStr">
        <is>
          <t>2014/12/08</t>
        </is>
      </c>
      <c r="G32" s="179" t="inlineStr">
        <is>
          <t>مستشفى الملك خالد المدني</t>
        </is>
      </c>
      <c r="H32" s="179" t="inlineStr">
        <is>
          <t>مستشفى عام</t>
        </is>
      </c>
      <c r="I32" s="179" t="inlineStr">
        <is>
          <t>الإدارة التنفيذية للمستشفيات</t>
        </is>
      </c>
      <c r="J32" s="179" t="inlineStr">
        <is>
          <t>تمريض</t>
        </is>
      </c>
      <c r="K32" s="179" t="inlineStr">
        <is>
          <t>فني تمريض</t>
        </is>
      </c>
      <c r="L32" s="179" t="inlineStr">
        <is>
          <t>فني تمريض</t>
        </is>
      </c>
      <c r="M32" s="179" t="inlineStr">
        <is>
          <t>رسمي (بند الوظائف)</t>
        </is>
      </c>
      <c r="N32" s="179" t="inlineStr">
        <is>
          <t>على رأس العمل</t>
        </is>
      </c>
      <c r="O32" s="180" t="inlineStr">
        <is>
          <t>13,600</t>
        </is>
      </c>
      <c r="P32" s="182" t="n">
        <v>75</v>
      </c>
      <c r="Q32" s="179" t="inlineStr">
        <is>
          <t>دبلوم</t>
        </is>
      </c>
      <c r="R32" s="179" t="inlineStr">
        <is>
          <t>نعم</t>
        </is>
      </c>
      <c r="S32" s="179" t="inlineStr">
        <is>
          <t>26/08/2027</t>
        </is>
      </c>
      <c r="T32" s="179" t="inlineStr">
        <is>
          <t>فني تمريض - أقسام داخلية</t>
        </is>
      </c>
    </row>
    <row r="33">
      <c r="A33" s="191" t="n">
        <v>300426</v>
      </c>
      <c r="B33" s="183" t="inlineStr">
        <is>
          <t>يزيد الشمري</t>
        </is>
      </c>
      <c r="C33" s="183" t="inlineStr">
        <is>
          <t>ذكر</t>
        </is>
      </c>
      <c r="D33" s="183" t="inlineStr">
        <is>
          <t>سعودي</t>
        </is>
      </c>
      <c r="E33" s="183" t="inlineStr">
        <is>
          <t>1996/08/01</t>
        </is>
      </c>
      <c r="F33" s="183" t="inlineStr">
        <is>
          <t>2022-01-21</t>
        </is>
      </c>
      <c r="G33" s="183" t="inlineStr">
        <is>
          <t>مستشفى الملك خالد المدني</t>
        </is>
      </c>
      <c r="H33" s="183" t="inlineStr">
        <is>
          <t>مستشفى عام</t>
        </is>
      </c>
      <c r="I33" s="183" t="inlineStr">
        <is>
          <t>الإدارة التنفيذية للمستشفيات</t>
        </is>
      </c>
      <c r="J33" s="183" t="inlineStr">
        <is>
          <t>تمريض</t>
        </is>
      </c>
      <c r="K33" s="183" t="inlineStr">
        <is>
          <t>فني تمريض عمليات</t>
        </is>
      </c>
      <c r="L33" s="183" t="inlineStr">
        <is>
          <t>فني تمريض</t>
        </is>
      </c>
      <c r="M33" s="183" t="inlineStr">
        <is>
          <t>تشغيل ذاتي</t>
        </is>
      </c>
      <c r="N33" s="183" t="inlineStr">
        <is>
          <t>منتهي الخدمة</t>
        </is>
      </c>
      <c r="O33" s="184" t="n">
        <v>11600</v>
      </c>
      <c r="P33" s="186" t="n">
        <v>112</v>
      </c>
      <c r="Q33" s="183" t="inlineStr">
        <is>
          <t>بكالوريوس</t>
        </is>
      </c>
      <c r="R33" s="183" t="inlineStr">
        <is>
          <t>نعم</t>
        </is>
      </c>
      <c r="S33" s="183" t="inlineStr">
        <is>
          <t>2028-03-30</t>
        </is>
      </c>
      <c r="T33" s="183" t="inlineStr">
        <is>
          <t>فني تمريض - غرف العمليات</t>
        </is>
      </c>
    </row>
    <row r="34">
      <c r="A34" s="188" t="n">
        <v>300443</v>
      </c>
      <c r="B34" s="179" t="inlineStr">
        <is>
          <t>ناصر الحربي</t>
        </is>
      </c>
      <c r="C34" s="179" t="inlineStr">
        <is>
          <t>ذكر</t>
        </is>
      </c>
      <c r="D34" s="179" t="inlineStr">
        <is>
          <t>سعودي</t>
        </is>
      </c>
      <c r="E34" s="179" t="inlineStr">
        <is>
          <t>1994/12/26</t>
        </is>
      </c>
      <c r="F34" s="179" t="inlineStr">
        <is>
          <t>2023/07/27</t>
        </is>
      </c>
      <c r="G34" s="179" t="inlineStr">
        <is>
          <t>الملك فهد التخصصي</t>
        </is>
      </c>
      <c r="H34" s="179" t="inlineStr">
        <is>
          <t>مستشفى مرجعي</t>
        </is>
      </c>
      <c r="I34" s="179" t="inlineStr">
        <is>
          <t>الإدارة التنفيذية للمستشفيات</t>
        </is>
      </c>
      <c r="J34" s="179" t="inlineStr">
        <is>
          <t>الصحة المساعدة</t>
        </is>
      </c>
      <c r="K34" s="179" t="inlineStr">
        <is>
          <t>أخصائي أشعة</t>
        </is>
      </c>
      <c r="L34" s="179" t="inlineStr">
        <is>
          <t>أخصائي</t>
        </is>
      </c>
      <c r="M34" s="179" t="inlineStr">
        <is>
          <t>رسمي (بند الوظائف)</t>
        </is>
      </c>
      <c r="N34" s="179" t="n"/>
      <c r="O34" s="180" t="n">
        <v>10800</v>
      </c>
      <c r="P34" s="182" t="n">
        <v>82.7</v>
      </c>
      <c r="Q34" s="179" t="inlineStr">
        <is>
          <t>ثانوية عامة</t>
        </is>
      </c>
      <c r="R34" s="179" t="inlineStr">
        <is>
          <t>نعم</t>
        </is>
      </c>
      <c r="S34" s="179" t="inlineStr">
        <is>
          <t>31/07/2027</t>
        </is>
      </c>
      <c r="T34" s="179" t="inlineStr">
        <is>
          <t>مدير إدارة الموارد البشرية</t>
        </is>
      </c>
    </row>
    <row r="35">
      <c r="A35" s="191" t="n">
        <v>300426</v>
      </c>
      <c r="B35" s="183" t="inlineStr">
        <is>
          <t>يزيد الشمري</t>
        </is>
      </c>
      <c r="C35" s="183" t="inlineStr">
        <is>
          <t>ذكر</t>
        </is>
      </c>
      <c r="D35" s="183" t="inlineStr">
        <is>
          <t>سعودي</t>
        </is>
      </c>
      <c r="E35" s="183" t="inlineStr">
        <is>
          <t>1996-08-01</t>
        </is>
      </c>
      <c r="F35" s="183" t="inlineStr">
        <is>
          <t>2022-01-21</t>
        </is>
      </c>
      <c r="G35" s="183" t="inlineStr">
        <is>
          <t>مستشفى الملك خالد المدني</t>
        </is>
      </c>
      <c r="H35" s="183" t="inlineStr">
        <is>
          <t>مستشفى عام</t>
        </is>
      </c>
      <c r="I35" s="183" t="inlineStr">
        <is>
          <t>الإدارة التنفيذية للمستشفيات</t>
        </is>
      </c>
      <c r="J35" s="183" t="inlineStr">
        <is>
          <t>تمريض</t>
        </is>
      </c>
      <c r="K35" s="183" t="inlineStr">
        <is>
          <t>فني تمريض عمليات</t>
        </is>
      </c>
      <c r="L35" s="183" t="inlineStr">
        <is>
          <t>فني تمريض</t>
        </is>
      </c>
      <c r="M35" s="183" t="inlineStr">
        <is>
          <t>تشغيل ذاتي</t>
        </is>
      </c>
      <c r="N35" s="183" t="inlineStr">
        <is>
          <t>منتهي الخدمة</t>
        </is>
      </c>
      <c r="O35" s="184" t="n">
        <v>11600</v>
      </c>
      <c r="P35" s="186" t="n">
        <v>96.7</v>
      </c>
      <c r="Q35" s="183" t="inlineStr">
        <is>
          <t>بكالوريوس</t>
        </is>
      </c>
      <c r="R35" s="183" t="inlineStr">
        <is>
          <t>نعم</t>
        </is>
      </c>
      <c r="S35" s="183" t="inlineStr">
        <is>
          <t>2028-03-30</t>
        </is>
      </c>
      <c r="T35" s="183" t="inlineStr">
        <is>
          <t>فني تمريض - غرف العمليات</t>
        </is>
      </c>
    </row>
    <row r="36">
      <c r="A36" s="188" t="n">
        <v>300480</v>
      </c>
      <c r="B36" s="179" t="inlineStr">
        <is>
          <t>Maria Santos</t>
        </is>
      </c>
      <c r="C36" s="179" t="inlineStr">
        <is>
          <t>أنثى</t>
        </is>
      </c>
      <c r="D36" s="179" t="inlineStr">
        <is>
          <t>الفلبين</t>
        </is>
      </c>
      <c r="E36" s="179" t="inlineStr">
        <is>
          <t>1983-12-10</t>
        </is>
      </c>
      <c r="F36" s="179" t="inlineStr">
        <is>
          <t>2020-05-30</t>
        </is>
      </c>
      <c r="G36" s="179" t="inlineStr">
        <is>
          <t>مركز صحي المروج</t>
        </is>
      </c>
      <c r="H36" s="179" t="inlineStr">
        <is>
          <t>مركز رعاية أولية</t>
        </is>
      </c>
      <c r="I36" s="179" t="inlineStr">
        <is>
          <t>الإدارة التنفيذية للرعاية الصحية الأولية</t>
        </is>
      </c>
      <c r="J36" s="179" t="inlineStr">
        <is>
          <t>أطباء</t>
        </is>
      </c>
      <c r="K36" s="179" t="inlineStr">
        <is>
          <t>طبيب عام</t>
        </is>
      </c>
      <c r="L36" s="179" t="inlineStr">
        <is>
          <t>طبيب مقيم</t>
        </is>
      </c>
      <c r="M36" s="179" t="inlineStr">
        <is>
          <t>رسمي (بند الوظائف)</t>
        </is>
      </c>
      <c r="N36" s="179" t="n"/>
      <c r="O36" s="180" t="n">
        <v>25600</v>
      </c>
      <c r="P36" s="182" t="n">
        <v>76.09999999999999</v>
      </c>
      <c r="Q36" s="179" t="inlineStr">
        <is>
          <t>بكالوريوس</t>
        </is>
      </c>
      <c r="R36" s="179" t="inlineStr">
        <is>
          <t>نعم</t>
        </is>
      </c>
      <c r="S36" s="179" t="inlineStr">
        <is>
          <t>05/03/2025</t>
        </is>
      </c>
      <c r="T36" s="179" t="inlineStr">
        <is>
          <t>طبيب عام - رعاية أولية</t>
        </is>
      </c>
    </row>
    <row r="37">
      <c r="A37" s="191" t="n">
        <v>300252</v>
      </c>
      <c r="B37" s="183" t="inlineStr">
        <is>
          <t>Joseph Cruz</t>
        </is>
      </c>
      <c r="C37" s="183" t="inlineStr">
        <is>
          <t>ذكر</t>
        </is>
      </c>
      <c r="D37" s="183" t="inlineStr">
        <is>
          <t>الفلبين</t>
        </is>
      </c>
      <c r="E37" s="183" t="inlineStr">
        <is>
          <t>1966-09-02</t>
        </is>
      </c>
      <c r="F37" s="183" t="inlineStr">
        <is>
          <t>2011-01-27</t>
        </is>
      </c>
      <c r="G37" s="183" t="inlineStr">
        <is>
          <t>مستشفى ضباء العام</t>
        </is>
      </c>
      <c r="H37" s="183" t="inlineStr">
        <is>
          <t>مستشفى عام</t>
        </is>
      </c>
      <c r="I37" s="183" t="inlineStr">
        <is>
          <t>الإدارة التنفيذية للمستشفيات</t>
        </is>
      </c>
      <c r="J37" s="183" t="inlineStr">
        <is>
          <t>تمريض</t>
        </is>
      </c>
      <c r="K37" s="183" t="inlineStr">
        <is>
          <t>فني تمريض</t>
        </is>
      </c>
      <c r="L37" s="183" t="inlineStr">
        <is>
          <t>فني تمريض</t>
        </is>
      </c>
      <c r="M37" s="183" t="inlineStr">
        <is>
          <t>تشغيل ذاتي</t>
        </is>
      </c>
      <c r="N37" s="183" t="inlineStr">
        <is>
          <t>على رأس العمل</t>
        </is>
      </c>
      <c r="O37" s="184" t="n">
        <v>13950</v>
      </c>
      <c r="P37" s="186" t="n">
        <v>80.59999999999999</v>
      </c>
      <c r="Q37" s="183" t="inlineStr">
        <is>
          <t>دبلوم</t>
        </is>
      </c>
      <c r="R37" s="183" t="inlineStr">
        <is>
          <t>نعم</t>
        </is>
      </c>
      <c r="S37" s="183" t="inlineStr">
        <is>
          <t>2025-01-31</t>
        </is>
      </c>
      <c r="T37" s="183" t="inlineStr">
        <is>
          <t>فني تمريض - أقسام داخلية</t>
        </is>
      </c>
    </row>
    <row r="38">
      <c r="A38" s="188" t="n">
        <v>300186</v>
      </c>
      <c r="B38" s="179" t="inlineStr">
        <is>
          <t>Joseph Cruz</t>
        </is>
      </c>
      <c r="C38" s="179" t="inlineStr">
        <is>
          <t>ذكر</t>
        </is>
      </c>
      <c r="D38" s="179" t="inlineStr">
        <is>
          <t>الفلبين</t>
        </is>
      </c>
      <c r="E38" s="179" t="inlineStr">
        <is>
          <t>1993-10-05</t>
        </is>
      </c>
      <c r="F38" s="179" t="inlineStr">
        <is>
          <t>2022-03-11</t>
        </is>
      </c>
      <c r="G38" s="179" t="inlineStr">
        <is>
          <t>مستشفى الملك خالد المدني</t>
        </is>
      </c>
      <c r="H38" s="179" t="inlineStr">
        <is>
          <t>مستشفى عام</t>
        </is>
      </c>
      <c r="I38" s="179" t="inlineStr">
        <is>
          <t>الإدارة التنفيذية للمستشفيات</t>
        </is>
      </c>
      <c r="J38" s="179" t="inlineStr">
        <is>
          <t>الصحة المساعدة</t>
        </is>
      </c>
      <c r="K38" s="179" t="inlineStr">
        <is>
          <t>فني صيدلة</t>
        </is>
      </c>
      <c r="L38" s="179" t="inlineStr">
        <is>
          <t>فني</t>
        </is>
      </c>
      <c r="M38" s="179" t="inlineStr">
        <is>
          <t>رسمي (بند الوظائف)</t>
        </is>
      </c>
      <c r="N38" s="179" t="inlineStr">
        <is>
          <t>على رأس العمل</t>
        </is>
      </c>
      <c r="O38" s="180" t="n">
        <v>11600</v>
      </c>
      <c r="P38" s="182" t="n">
        <v>75.7</v>
      </c>
      <c r="Q38" s="179" t="inlineStr">
        <is>
          <t>بكالوريوس</t>
        </is>
      </c>
      <c r="R38" s="179" t="inlineStr">
        <is>
          <t>نعم</t>
        </is>
      </c>
      <c r="S38" s="179" t="inlineStr">
        <is>
          <t>20/06/2028</t>
        </is>
      </c>
      <c r="T38" s="179" t="inlineStr">
        <is>
          <t>فني صيدلة</t>
        </is>
      </c>
    </row>
    <row r="39">
      <c r="A39" s="191" t="n">
        <v>300108</v>
      </c>
      <c r="B39" s="183" t="inlineStr">
        <is>
          <t>Fatima Noor</t>
        </is>
      </c>
      <c r="C39" s="183" t="inlineStr">
        <is>
          <t>أنثى</t>
        </is>
      </c>
      <c r="D39" s="183" t="inlineStr">
        <is>
          <t>باكستان</t>
        </is>
      </c>
      <c r="E39" s="183" t="inlineStr">
        <is>
          <t>18/12/1979</t>
        </is>
      </c>
      <c r="F39" s="183" t="inlineStr">
        <is>
          <t>2022-12-17</t>
        </is>
      </c>
      <c r="G39" s="183" t="inlineStr">
        <is>
          <t>مستشفى الملك خالد المدني</t>
        </is>
      </c>
      <c r="H39" s="183" t="inlineStr">
        <is>
          <t>مستشفى عام</t>
        </is>
      </c>
      <c r="I39" s="183" t="inlineStr">
        <is>
          <t>الإدارة التنفيذية للمستشفيات</t>
        </is>
      </c>
      <c r="J39" s="183" t="inlineStr">
        <is>
          <t>تمريض</t>
        </is>
      </c>
      <c r="K39" s="183" t="inlineStr">
        <is>
          <t>أخصائي تمريض</t>
        </is>
      </c>
      <c r="L39" s="183" t="inlineStr">
        <is>
          <t>أخصائي تمريض</t>
        </is>
      </c>
      <c r="M39" s="183" t="inlineStr">
        <is>
          <t>رسمي (بند الوظائف)</t>
        </is>
      </c>
      <c r="N39" s="183" t="inlineStr">
        <is>
          <t>على رأس العمل</t>
        </is>
      </c>
      <c r="O39" s="184" t="n">
        <v>11200</v>
      </c>
      <c r="P39" s="186" t="n">
        <v>75.7</v>
      </c>
      <c r="Q39" s="183" t="inlineStr">
        <is>
          <t>دبلوم</t>
        </is>
      </c>
      <c r="R39" s="183" t="inlineStr">
        <is>
          <t>نعم</t>
        </is>
      </c>
      <c r="S39" s="183" t="inlineStr">
        <is>
          <t>2027-03-19</t>
        </is>
      </c>
      <c r="T39" s="183" t="inlineStr">
        <is>
          <t>أخصائي تمريض - أقسام داخلية</t>
        </is>
      </c>
    </row>
    <row r="40">
      <c r="A40" s="188" t="n">
        <v>300473</v>
      </c>
      <c r="B40" s="179" t="inlineStr">
        <is>
          <t>ريم الصاعدي</t>
        </is>
      </c>
      <c r="C40" s="179" t="inlineStr">
        <is>
          <t>أنثى</t>
        </is>
      </c>
      <c r="D40" s="179" t="inlineStr">
        <is>
          <t>سعودية</t>
        </is>
      </c>
      <c r="E40" s="179" t="inlineStr">
        <is>
          <t>1980-04-29</t>
        </is>
      </c>
      <c r="F40" s="179" t="inlineStr">
        <is>
          <t>2004-06-28</t>
        </is>
      </c>
      <c r="G40" s="179" t="inlineStr">
        <is>
          <t>مستشفى الملك خالد المدني</t>
        </is>
      </c>
      <c r="H40" s="179" t="inlineStr">
        <is>
          <t>مستشفى عام</t>
        </is>
      </c>
      <c r="I40" s="179" t="inlineStr">
        <is>
          <t>الإدارة التنفيذية للمستشفيات</t>
        </is>
      </c>
      <c r="J40" s="179" t="inlineStr">
        <is>
          <t>تمريض</t>
        </is>
      </c>
      <c r="K40" s="179" t="inlineStr">
        <is>
          <t>أخصائي تمريض</t>
        </is>
      </c>
      <c r="L40" s="179" t="inlineStr">
        <is>
          <t>أخصائي تمريض</t>
        </is>
      </c>
      <c r="M40" s="179" t="inlineStr">
        <is>
          <t>رسمي (بند الوظائف)</t>
        </is>
      </c>
      <c r="N40" s="179" t="inlineStr">
        <is>
          <t>على رأس العمل</t>
        </is>
      </c>
      <c r="O40" s="180" t="n">
        <v>11850</v>
      </c>
      <c r="P40" s="182" t="n">
        <v>93.2</v>
      </c>
      <c r="Q40" s="179" t="inlineStr">
        <is>
          <t>دبلوم</t>
        </is>
      </c>
      <c r="R40" s="179" t="inlineStr">
        <is>
          <t>لا</t>
        </is>
      </c>
      <c r="S40" s="179" t="n"/>
      <c r="T40" s="179" t="inlineStr">
        <is>
          <t>أخصائي تمريض - أقسام داخلية</t>
        </is>
      </c>
    </row>
    <row r="41">
      <c r="A41" s="191" t="n">
        <v>300363</v>
      </c>
      <c r="B41" s="183" t="inlineStr">
        <is>
          <t>بندر العنزي</t>
        </is>
      </c>
      <c r="C41" s="183" t="inlineStr">
        <is>
          <t>ذكر</t>
        </is>
      </c>
      <c r="D41" s="183" t="inlineStr">
        <is>
          <t>سعودي</t>
        </is>
      </c>
      <c r="E41" s="183" t="inlineStr">
        <is>
          <t>1980-02-16</t>
        </is>
      </c>
      <c r="F41" s="183" t="inlineStr">
        <is>
          <t>2024-04-11</t>
        </is>
      </c>
      <c r="G41" s="183" t="inlineStr">
        <is>
          <t>مركز صحي المروج</t>
        </is>
      </c>
      <c r="H41" s="183" t="inlineStr">
        <is>
          <t>مركز رعاية أولية</t>
        </is>
      </c>
      <c r="I41" s="183" t="inlineStr">
        <is>
          <t>الإدارة التنفيذية للرعاية الصحية الأولية</t>
        </is>
      </c>
      <c r="J41" s="183" t="inlineStr">
        <is>
          <t>تمريض</t>
        </is>
      </c>
      <c r="K41" s="183" t="inlineStr">
        <is>
          <t>مشرف تمريض</t>
        </is>
      </c>
      <c r="L41" s="183" t="inlineStr">
        <is>
          <t>أخصائي تمريض</t>
        </is>
      </c>
      <c r="M41" s="183" t="inlineStr">
        <is>
          <t>رسمي (بند الوظائف)</t>
        </is>
      </c>
      <c r="N41" s="183" t="n"/>
      <c r="O41" s="184" t="n">
        <v>11200</v>
      </c>
      <c r="P41" s="186" t="n">
        <v>80.09999999999999</v>
      </c>
      <c r="Q41" s="183" t="inlineStr">
        <is>
          <t>بكالوريوس</t>
        </is>
      </c>
      <c r="R41" s="183" t="inlineStr">
        <is>
          <t>نعم</t>
        </is>
      </c>
      <c r="S41" s="183" t="inlineStr">
        <is>
          <t>30/04/2028</t>
        </is>
      </c>
      <c r="T41" s="183" t="inlineStr">
        <is>
          <t>أمين مستودع</t>
        </is>
      </c>
    </row>
    <row r="42">
      <c r="A42" s="188" t="n">
        <v>300131</v>
      </c>
      <c r="B42" s="179" t="inlineStr">
        <is>
          <t>أحمد الزهراني</t>
        </is>
      </c>
      <c r="C42" s="179" t="inlineStr">
        <is>
          <t>ذكر</t>
        </is>
      </c>
      <c r="D42" s="179" t="inlineStr">
        <is>
          <t>سعودي</t>
        </is>
      </c>
      <c r="E42" s="179" t="inlineStr">
        <is>
          <t>1987-09-27</t>
        </is>
      </c>
      <c r="F42" s="179" t="inlineStr">
        <is>
          <t>2020-02-24</t>
        </is>
      </c>
      <c r="G42" s="179" t="inlineStr">
        <is>
          <t>مستشفى الملك فهد التخصصي</t>
        </is>
      </c>
      <c r="H42" s="179" t="inlineStr">
        <is>
          <t>مستشفى مرجعي</t>
        </is>
      </c>
      <c r="I42" s="179" t="inlineStr">
        <is>
          <t>الإدارة التنفيذية للمستشفيات</t>
        </is>
      </c>
      <c r="J42" s="179" t="inlineStr">
        <is>
          <t>تمريض</t>
        </is>
      </c>
      <c r="K42" s="179" t="inlineStr">
        <is>
          <t>أخصائي تمريض</t>
        </is>
      </c>
      <c r="L42" s="179" t="inlineStr">
        <is>
          <t>أخصائي تمريض</t>
        </is>
      </c>
      <c r="M42" s="179" t="inlineStr">
        <is>
          <t>تشغيل ذاتي</t>
        </is>
      </c>
      <c r="N42" s="179" t="inlineStr">
        <is>
          <t>موقوف عن العمل</t>
        </is>
      </c>
      <c r="O42" s="180" t="n">
        <v>9700</v>
      </c>
      <c r="P42" s="182" t="n">
        <v>94.59999999999999</v>
      </c>
      <c r="Q42" s="179" t="inlineStr">
        <is>
          <t>دبلوم</t>
        </is>
      </c>
      <c r="R42" s="179" t="inlineStr">
        <is>
          <t>لا</t>
        </is>
      </c>
      <c r="S42" s="179" t="n"/>
      <c r="T42" s="179" t="inlineStr">
        <is>
          <t>أخصائي تمريض - أقسام داخلية</t>
        </is>
      </c>
    </row>
    <row r="43">
      <c r="A43" s="191" t="n">
        <v>300344</v>
      </c>
      <c r="B43" s="183" t="inlineStr">
        <is>
          <t>عبدالله البلوي</t>
        </is>
      </c>
      <c r="C43" s="183" t="inlineStr">
        <is>
          <t>ذكر</t>
        </is>
      </c>
      <c r="D43" s="183" t="inlineStr">
        <is>
          <t>سعودي</t>
        </is>
      </c>
      <c r="E43" s="183" t="inlineStr">
        <is>
          <t>1998-06-04</t>
        </is>
      </c>
      <c r="F43" s="183" t="inlineStr">
        <is>
          <t>2024-06-01</t>
        </is>
      </c>
      <c r="G43" s="183" t="inlineStr">
        <is>
          <t>مستشفى ضباء العام</t>
        </is>
      </c>
      <c r="H43" s="183" t="inlineStr">
        <is>
          <t>مستشفى عام</t>
        </is>
      </c>
      <c r="I43" s="183" t="inlineStr">
        <is>
          <t>الإدارة التنفيذية للمستشفيات</t>
        </is>
      </c>
      <c r="J43" s="183" t="inlineStr">
        <is>
          <t xml:space="preserve">الصحة المساعدة </t>
        </is>
      </c>
      <c r="K43" s="183" t="inlineStr">
        <is>
          <t>أخصائي علاج طبيعي</t>
        </is>
      </c>
      <c r="L43" s="183" t="inlineStr">
        <is>
          <t>أخصائي</t>
        </is>
      </c>
      <c r="M43" s="183" t="inlineStr">
        <is>
          <t>رسمي (بند الوظائف)</t>
        </is>
      </c>
      <c r="N43" s="183" t="inlineStr">
        <is>
          <t>على رأس العمل</t>
        </is>
      </c>
      <c r="O43" s="184" t="inlineStr">
        <is>
          <t>8,650</t>
        </is>
      </c>
      <c r="P43" s="186" t="n">
        <v>88.3</v>
      </c>
      <c r="Q43" s="183" t="inlineStr">
        <is>
          <t>بكالوريوس</t>
        </is>
      </c>
      <c r="R43" s="183" t="inlineStr">
        <is>
          <t>نعم</t>
        </is>
      </c>
      <c r="S43" s="183" t="inlineStr">
        <is>
          <t>12/09/2025</t>
        </is>
      </c>
      <c r="T43" s="183" t="inlineStr">
        <is>
          <t>أخصائي علاج طبيعي</t>
        </is>
      </c>
    </row>
    <row r="44">
      <c r="A44" s="188" t="n">
        <v>300317</v>
      </c>
      <c r="B44" s="179" t="inlineStr">
        <is>
          <t>دانة الحربي</t>
        </is>
      </c>
      <c r="C44" s="179" t="inlineStr">
        <is>
          <t>انثى</t>
        </is>
      </c>
      <c r="D44" s="179" t="inlineStr">
        <is>
          <t>سعودية</t>
        </is>
      </c>
      <c r="E44" s="179" t="inlineStr">
        <is>
          <t>05/12/1978</t>
        </is>
      </c>
      <c r="F44" s="179" t="inlineStr">
        <is>
          <t>2021/05/07</t>
        </is>
      </c>
      <c r="G44" s="179" t="inlineStr">
        <is>
          <t>مستشفى الملك خالد المدني</t>
        </is>
      </c>
      <c r="H44" s="179" t="inlineStr">
        <is>
          <t>مستشفى عام</t>
        </is>
      </c>
      <c r="I44" s="179" t="inlineStr">
        <is>
          <t>الإدارة التنفيذية للمستشفيات</t>
        </is>
      </c>
      <c r="J44" s="179" t="inlineStr">
        <is>
          <t xml:space="preserve">الصحة المساعدة </t>
        </is>
      </c>
      <c r="K44" s="179" t="inlineStr">
        <is>
          <t>فني صيانة</t>
        </is>
      </c>
      <c r="L44" s="179" t="inlineStr">
        <is>
          <t>مساند</t>
        </is>
      </c>
      <c r="M44" s="179" t="inlineStr">
        <is>
          <t>رسمي (بند الوظائف)</t>
        </is>
      </c>
      <c r="N44" s="179" t="inlineStr">
        <is>
          <t>على رأس العمل</t>
        </is>
      </c>
      <c r="O44" s="180" t="n">
        <v>6700</v>
      </c>
      <c r="P44" s="182" t="n">
        <v>69.3</v>
      </c>
      <c r="Q44" s="179" t="inlineStr">
        <is>
          <t>ماجستير</t>
        </is>
      </c>
      <c r="R44" s="179" t="inlineStr">
        <is>
          <t>لا ينطبق</t>
        </is>
      </c>
      <c r="S44" s="179" t="n"/>
      <c r="T44" s="179" t="inlineStr">
        <is>
          <t>أخصائي أشعة - الرنين المغناطيسي</t>
        </is>
      </c>
    </row>
    <row r="45">
      <c r="A45" s="191" t="n">
        <v>300286</v>
      </c>
      <c r="B45" s="183" t="inlineStr">
        <is>
          <t>دانة الحويطي</t>
        </is>
      </c>
      <c r="C45" s="183" t="inlineStr">
        <is>
          <t>أنثى</t>
        </is>
      </c>
      <c r="D45" s="183" t="inlineStr">
        <is>
          <t>SAU</t>
        </is>
      </c>
      <c r="E45" s="183" t="inlineStr">
        <is>
          <t>1996-07-18</t>
        </is>
      </c>
      <c r="F45" s="183" t="inlineStr">
        <is>
          <t>06/03/2023</t>
        </is>
      </c>
      <c r="G45" s="183" t="inlineStr">
        <is>
          <t xml:space="preserve">مستشفى الملك فهد التخصصي </t>
        </is>
      </c>
      <c r="H45" s="183" t="inlineStr">
        <is>
          <t>مستشفى مرجعي</t>
        </is>
      </c>
      <c r="I45" s="183" t="inlineStr">
        <is>
          <t>الإدارة التنفيذية للمستشفيات</t>
        </is>
      </c>
      <c r="J45" s="183" t="inlineStr">
        <is>
          <t>الإدارية</t>
        </is>
      </c>
      <c r="K45" s="183" t="inlineStr">
        <is>
          <t>أخصائي موارد بشرية</t>
        </is>
      </c>
      <c r="L45" s="183" t="inlineStr">
        <is>
          <t>إداري</t>
        </is>
      </c>
      <c r="M45" s="183" t="inlineStr">
        <is>
          <t>رسمي (بند الوظائف)</t>
        </is>
      </c>
      <c r="N45" s="183" t="inlineStr">
        <is>
          <t>على رأس العمل</t>
        </is>
      </c>
      <c r="O45" s="184" t="inlineStr">
        <is>
          <t>14,300</t>
        </is>
      </c>
      <c r="P45" s="186" t="n">
        <v>92.7</v>
      </c>
      <c r="Q45" s="183" t="inlineStr">
        <is>
          <t>دبلوم</t>
        </is>
      </c>
      <c r="R45" s="183" t="inlineStr">
        <is>
          <t>لا ينطبق</t>
        </is>
      </c>
      <c r="S45" s="183" t="n"/>
      <c r="T45" s="183" t="inlineStr">
        <is>
          <t>أخصائي موارد بشرية</t>
        </is>
      </c>
    </row>
    <row r="46">
      <c r="A46" s="188" t="n">
        <v>300241</v>
      </c>
      <c r="B46" s="179" t="inlineStr">
        <is>
          <t>Ahmed Fathy</t>
        </is>
      </c>
      <c r="C46" s="179" t="inlineStr">
        <is>
          <t>ذكر</t>
        </is>
      </c>
      <c r="D46" s="179" t="inlineStr">
        <is>
          <t>مصر</t>
        </is>
      </c>
      <c r="E46" s="179" t="inlineStr">
        <is>
          <t>1974-01-09</t>
        </is>
      </c>
      <c r="F46" s="179" t="inlineStr">
        <is>
          <t>2010-05-06</t>
        </is>
      </c>
      <c r="G46" s="179" t="inlineStr">
        <is>
          <t>مستشفى الملك فهد التخصصي</t>
        </is>
      </c>
      <c r="H46" s="179" t="inlineStr">
        <is>
          <t>مستشفى مرجعي</t>
        </is>
      </c>
      <c r="I46" s="179" t="inlineStr">
        <is>
          <t>الإدارة التنفيذية للمستشفيات</t>
        </is>
      </c>
      <c r="J46" s="179" t="inlineStr">
        <is>
          <t>تمريض</t>
        </is>
      </c>
      <c r="K46" s="179" t="inlineStr">
        <is>
          <t>أخصائي تمريض عناية مركزة</t>
        </is>
      </c>
      <c r="L46" s="179" t="inlineStr">
        <is>
          <t>أخصائي تمريض</t>
        </is>
      </c>
      <c r="M46" s="179" t="inlineStr">
        <is>
          <t>رسمي (بند الوظائف)</t>
        </is>
      </c>
      <c r="N46" s="179" t="inlineStr">
        <is>
          <t>منتهي الخدمة</t>
        </is>
      </c>
      <c r="O46" s="180" t="n">
        <v>8550</v>
      </c>
      <c r="P46" s="182" t="n">
        <v>80.5</v>
      </c>
      <c r="Q46" s="179" t="inlineStr">
        <is>
          <t>بكالوريوس</t>
        </is>
      </c>
      <c r="R46" s="179" t="inlineStr">
        <is>
          <t>نعم</t>
        </is>
      </c>
      <c r="S46" s="179" t="inlineStr">
        <is>
          <t>20/11/2027</t>
        </is>
      </c>
      <c r="T46" s="179" t="inlineStr">
        <is>
          <t>أخصائي تمريض - العناية المركزة</t>
        </is>
      </c>
    </row>
    <row r="47">
      <c r="A47" s="191" t="n">
        <v>300162</v>
      </c>
      <c r="B47" s="183" t="inlineStr">
        <is>
          <t>عمر البلوي</t>
        </is>
      </c>
      <c r="C47" s="183" t="inlineStr">
        <is>
          <t>ذكر</t>
        </is>
      </c>
      <c r="D47" s="183" t="inlineStr">
        <is>
          <t>سعودي</t>
        </is>
      </c>
      <c r="E47" s="183" t="inlineStr">
        <is>
          <t>2000/10/05</t>
        </is>
      </c>
      <c r="F47" s="183" t="inlineStr">
        <is>
          <t>2024-02-16</t>
        </is>
      </c>
      <c r="G47" s="183" t="inlineStr">
        <is>
          <t>مستشفى الملك خالد المدني</t>
        </is>
      </c>
      <c r="H47" s="183" t="inlineStr">
        <is>
          <t>مستشفى عام</t>
        </is>
      </c>
      <c r="I47" s="183" t="inlineStr">
        <is>
          <t>الإدارة التنفيذية للمستشفيات</t>
        </is>
      </c>
      <c r="J47" s="183" t="inlineStr">
        <is>
          <t xml:space="preserve">الصحة المساعدة </t>
        </is>
      </c>
      <c r="K47" s="183" t="inlineStr">
        <is>
          <t>فني مختبر</t>
        </is>
      </c>
      <c r="L47" s="183" t="inlineStr">
        <is>
          <t>فني</t>
        </is>
      </c>
      <c r="M47" s="183" t="inlineStr">
        <is>
          <t>رسمي (بند الوظائف)</t>
        </is>
      </c>
      <c r="N47" s="183" t="inlineStr">
        <is>
          <t>على رأس العمل</t>
        </is>
      </c>
      <c r="O47" s="184" t="n">
        <v>12000</v>
      </c>
      <c r="P47" s="186" t="n">
        <v>78.90000000000001</v>
      </c>
      <c r="Q47" s="183" t="inlineStr">
        <is>
          <t>ماجستير</t>
        </is>
      </c>
      <c r="R47" s="183" t="inlineStr">
        <is>
          <t>لا</t>
        </is>
      </c>
      <c r="S47" s="183" t="n"/>
      <c r="T47" s="183" t="inlineStr">
        <is>
          <t>فني مختبر</t>
        </is>
      </c>
    </row>
    <row r="48">
      <c r="A48" s="188" t="n">
        <v>300351</v>
      </c>
      <c r="B48" s="179" t="inlineStr">
        <is>
          <t>ماجد القحطاني</t>
        </is>
      </c>
      <c r="C48" s="179" t="inlineStr">
        <is>
          <t>Male</t>
        </is>
      </c>
      <c r="D48" s="179" t="inlineStr">
        <is>
          <t>سعودي</t>
        </is>
      </c>
      <c r="E48" s="179" t="inlineStr">
        <is>
          <t>1938-07-19</t>
        </is>
      </c>
      <c r="F48" s="179" t="inlineStr">
        <is>
          <t>2020-04-02</t>
        </is>
      </c>
      <c r="G48" s="179" t="inlineStr">
        <is>
          <t>الملك فهد التخصصي</t>
        </is>
      </c>
      <c r="H48" s="179" t="inlineStr">
        <is>
          <t>مستشفى مرجعي</t>
        </is>
      </c>
      <c r="I48" s="179" t="inlineStr">
        <is>
          <t>الإدارة التنفيذية للمستشفيات</t>
        </is>
      </c>
      <c r="J48" s="179" t="inlineStr">
        <is>
          <t xml:space="preserve">الصحة المساعدة </t>
        </is>
      </c>
      <c r="K48" s="179" t="inlineStr">
        <is>
          <t>أخصائي صيدلة</t>
        </is>
      </c>
      <c r="L48" s="179" t="inlineStr">
        <is>
          <t>أخصائي</t>
        </is>
      </c>
      <c r="M48" s="179" t="inlineStr">
        <is>
          <t>بند الأجور</t>
        </is>
      </c>
      <c r="N48" s="179" t="inlineStr">
        <is>
          <t>على رأس العمل</t>
        </is>
      </c>
      <c r="O48" s="180" t="n">
        <v>9800</v>
      </c>
      <c r="P48" s="182" t="n">
        <v>92.09999999999999</v>
      </c>
      <c r="Q48" s="179" t="inlineStr">
        <is>
          <t>بكالوريوس</t>
        </is>
      </c>
      <c r="R48" s="179" t="inlineStr">
        <is>
          <t>نعم</t>
        </is>
      </c>
      <c r="S48" s="179" t="inlineStr">
        <is>
          <t>2028-07-26</t>
        </is>
      </c>
      <c r="T48" s="179" t="inlineStr">
        <is>
          <t>أخصائي صيدلة</t>
        </is>
      </c>
    </row>
    <row r="49">
      <c r="A49" s="191" t="n">
        <v>300204</v>
      </c>
      <c r="B49" s="183" t="inlineStr">
        <is>
          <t>Fatima Noor</t>
        </is>
      </c>
      <c r="C49" s="183" t="inlineStr">
        <is>
          <t>أنثى</t>
        </is>
      </c>
      <c r="D49" s="183" t="inlineStr">
        <is>
          <t>باكستان</t>
        </is>
      </c>
      <c r="E49" s="183" t="inlineStr">
        <is>
          <t>1978/10/04</t>
        </is>
      </c>
      <c r="F49" s="183" t="inlineStr">
        <is>
          <t>2003-02-21</t>
        </is>
      </c>
      <c r="G49" s="183" t="inlineStr">
        <is>
          <t xml:space="preserve">مستشفى ضباء العام </t>
        </is>
      </c>
      <c r="H49" s="183" t="inlineStr">
        <is>
          <t>مستشفى عام</t>
        </is>
      </c>
      <c r="I49" s="183" t="inlineStr">
        <is>
          <t>الإدارة التنفيذية للمستشفيات</t>
        </is>
      </c>
      <c r="J49" s="183" t="inlineStr">
        <is>
          <t xml:space="preserve">الصحة المساعدة </t>
        </is>
      </c>
      <c r="K49" s="183" t="inlineStr">
        <is>
          <t>سائق إسعاف</t>
        </is>
      </c>
      <c r="L49" s="183" t="inlineStr">
        <is>
          <t>مساند</t>
        </is>
      </c>
      <c r="M49" s="183" t="inlineStr">
        <is>
          <t>رسمي (بند الوظائف)</t>
        </is>
      </c>
      <c r="N49" s="183" t="inlineStr">
        <is>
          <t>على رأس العمل</t>
        </is>
      </c>
      <c r="O49" s="184" t="n">
        <v>6500</v>
      </c>
      <c r="P49" s="186" t="n">
        <v>94.8</v>
      </c>
      <c r="Q49" s="183" t="inlineStr">
        <is>
          <t>ماجستير</t>
        </is>
      </c>
      <c r="R49" s="183" t="inlineStr">
        <is>
          <t>لا ينطبق</t>
        </is>
      </c>
      <c r="S49" s="183" t="n"/>
      <c r="T49" s="183" t="inlineStr">
        <is>
          <t>طبيب أسنان - عيادات الأسنان</t>
        </is>
      </c>
    </row>
    <row r="50">
      <c r="A50" s="188" t="n">
        <v>300214</v>
      </c>
      <c r="B50" s="179" t="inlineStr">
        <is>
          <t>محمد الحويطي</t>
        </is>
      </c>
      <c r="C50" s="179" t="inlineStr">
        <is>
          <t>ذكر</t>
        </is>
      </c>
      <c r="D50" s="179" t="inlineStr">
        <is>
          <t>سعودي</t>
        </is>
      </c>
      <c r="E50" s="179" t="inlineStr">
        <is>
          <t>1977-08-07</t>
        </is>
      </c>
      <c r="F50" s="179" t="inlineStr">
        <is>
          <t>2008-07-01</t>
        </is>
      </c>
      <c r="G50" s="179" t="inlineStr">
        <is>
          <t>مستشفى الملك فهد التخصصي</t>
        </is>
      </c>
      <c r="H50" s="179" t="inlineStr">
        <is>
          <t>مستشفى مرجعي</t>
        </is>
      </c>
      <c r="I50" s="179" t="inlineStr">
        <is>
          <t>الإدارة التنفيذية للمستشفيات</t>
        </is>
      </c>
      <c r="J50" s="179" t="inlineStr">
        <is>
          <t xml:space="preserve">الصحة المساعدة </t>
        </is>
      </c>
      <c r="K50" s="179" t="inlineStr">
        <is>
          <t>أمين مستودع</t>
        </is>
      </c>
      <c r="L50" s="179" t="inlineStr">
        <is>
          <t>مساند</t>
        </is>
      </c>
      <c r="M50" s="179" t="inlineStr">
        <is>
          <t>رسمي (بند الوظائف)</t>
        </is>
      </c>
      <c r="N50" s="179" t="inlineStr">
        <is>
          <t>على رأس العمل</t>
        </is>
      </c>
      <c r="O50" s="180" t="inlineStr">
        <is>
          <t>4,650</t>
        </is>
      </c>
      <c r="P50" s="182" t="n">
        <v>98</v>
      </c>
      <c r="Q50" s="179" t="inlineStr">
        <is>
          <t>بكالوريوس</t>
        </is>
      </c>
      <c r="R50" s="179" t="inlineStr">
        <is>
          <t>لا ينطبق</t>
        </is>
      </c>
      <c r="S50" s="179" t="n"/>
      <c r="T50" s="179" t="inlineStr">
        <is>
          <t>أمين مستودع</t>
        </is>
      </c>
    </row>
    <row r="51">
      <c r="A51" s="191" t="n">
        <v>300235</v>
      </c>
      <c r="B51" s="183" t="inlineStr">
        <is>
          <t>Layla Mansour</t>
        </is>
      </c>
      <c r="C51" s="183" t="inlineStr">
        <is>
          <t>Female</t>
        </is>
      </c>
      <c r="D51" s="183" t="inlineStr">
        <is>
          <t>سوريا</t>
        </is>
      </c>
      <c r="E51" s="183" t="inlineStr">
        <is>
          <t>1971/01/03</t>
        </is>
      </c>
      <c r="F51" s="183" t="inlineStr">
        <is>
          <t>2017/10/17</t>
        </is>
      </c>
      <c r="G51" s="183" t="inlineStr">
        <is>
          <t>مستشفى الملك خالد المدني</t>
        </is>
      </c>
      <c r="H51" s="183" t="inlineStr">
        <is>
          <t>مستشفى عام</t>
        </is>
      </c>
      <c r="I51" s="183" t="inlineStr">
        <is>
          <t>الإدارة التنفيذية للمستشفيات</t>
        </is>
      </c>
      <c r="J51" s="183" t="inlineStr">
        <is>
          <t xml:space="preserve">الصحة المساعدة </t>
        </is>
      </c>
      <c r="K51" s="183" t="inlineStr">
        <is>
          <t>سائق إسعاف</t>
        </is>
      </c>
      <c r="L51" s="183" t="inlineStr">
        <is>
          <t>مساند</t>
        </is>
      </c>
      <c r="M51" s="183" t="inlineStr">
        <is>
          <t>بند الأجور</t>
        </is>
      </c>
      <c r="N51" s="183" t="inlineStr">
        <is>
          <t>على رأس العمل</t>
        </is>
      </c>
      <c r="O51" s="184" t="inlineStr">
        <is>
          <t>4,000</t>
        </is>
      </c>
      <c r="P51" s="186" t="n">
        <v>72.09999999999999</v>
      </c>
      <c r="Q51" s="183" t="inlineStr">
        <is>
          <t>بكالوريوس</t>
        </is>
      </c>
      <c r="R51" s="183" t="inlineStr">
        <is>
          <t>لا ينطبق</t>
        </is>
      </c>
      <c r="S51" s="183" t="n"/>
      <c r="T51" s="183" t="inlineStr">
        <is>
          <t>سائق إسعاف</t>
        </is>
      </c>
    </row>
    <row r="52">
      <c r="A52" s="188" t="n">
        <v>300312</v>
      </c>
      <c r="B52" s="179" t="inlineStr">
        <is>
          <t>أروى المطيري</t>
        </is>
      </c>
      <c r="C52" s="179" t="inlineStr">
        <is>
          <t>أنثى</t>
        </is>
      </c>
      <c r="D52" s="179" t="inlineStr">
        <is>
          <t>سعودية</t>
        </is>
      </c>
      <c r="E52" s="179" t="inlineStr">
        <is>
          <t>1984-07-20</t>
        </is>
      </c>
      <c r="F52" s="179" t="inlineStr">
        <is>
          <t>2014-08-22</t>
        </is>
      </c>
      <c r="G52" s="179" t="inlineStr">
        <is>
          <t>مستشفى الملك خالد المدني</t>
        </is>
      </c>
      <c r="H52" s="179" t="inlineStr">
        <is>
          <t>مستشفى عام</t>
        </is>
      </c>
      <c r="I52" s="179" t="inlineStr">
        <is>
          <t>الإدارة التنفيذية للمستشفيات</t>
        </is>
      </c>
      <c r="J52" s="179" t="inlineStr">
        <is>
          <t>تمريض</t>
        </is>
      </c>
      <c r="K52" s="179" t="inlineStr">
        <is>
          <t>فني تمريض</t>
        </is>
      </c>
      <c r="L52" s="179" t="inlineStr">
        <is>
          <t>فني تمريض</t>
        </is>
      </c>
      <c r="M52" s="179" t="inlineStr">
        <is>
          <t>رسمي (بند الوظائف)</t>
        </is>
      </c>
      <c r="N52" s="179" t="n"/>
      <c r="O52" s="180" t="n">
        <v>11250</v>
      </c>
      <c r="P52" s="182" t="n">
        <v>83.5</v>
      </c>
      <c r="Q52" s="179" t="inlineStr">
        <is>
          <t>ماجستير</t>
        </is>
      </c>
      <c r="R52" s="179" t="inlineStr">
        <is>
          <t>نعم</t>
        </is>
      </c>
      <c r="S52" s="179" t="inlineStr">
        <is>
          <t>2026-04-05</t>
        </is>
      </c>
      <c r="T52" s="179" t="inlineStr">
        <is>
          <t>فني تمريض - أقسام داخلية</t>
        </is>
      </c>
    </row>
    <row r="53">
      <c r="A53" s="191" t="n">
        <v>300227</v>
      </c>
      <c r="B53" s="183" t="inlineStr">
        <is>
          <t>يزيد العطوي</t>
        </is>
      </c>
      <c r="C53" s="183" t="inlineStr">
        <is>
          <t>ذكر</t>
        </is>
      </c>
      <c r="D53" s="183" t="inlineStr">
        <is>
          <t>سعودي</t>
        </is>
      </c>
      <c r="E53" s="183" t="inlineStr">
        <is>
          <t>1997-09-08</t>
        </is>
      </c>
      <c r="F53" s="183" t="inlineStr">
        <is>
          <t>2021-10-27</t>
        </is>
      </c>
      <c r="G53" s="183" t="inlineStr">
        <is>
          <t>مستشفى الملك فهد التخصصي</t>
        </is>
      </c>
      <c r="H53" s="183" t="inlineStr">
        <is>
          <t>مستشفى مرجعي</t>
        </is>
      </c>
      <c r="I53" s="183" t="inlineStr">
        <is>
          <t>الإدارة التنفيذية للمستشفيات</t>
        </is>
      </c>
      <c r="J53" s="183" t="inlineStr">
        <is>
          <t>الصحة المساعدة</t>
        </is>
      </c>
      <c r="K53" s="183" t="inlineStr">
        <is>
          <t>فني صيدلة</t>
        </is>
      </c>
      <c r="L53" s="183" t="inlineStr">
        <is>
          <t>فني</t>
        </is>
      </c>
      <c r="M53" s="183" t="inlineStr">
        <is>
          <t>رسمي (بند الوظائف)</t>
        </is>
      </c>
      <c r="N53" s="183" t="n"/>
      <c r="O53" s="184" t="n">
        <v>7450</v>
      </c>
      <c r="P53" s="186" t="n">
        <v>89.3</v>
      </c>
      <c r="Q53" s="183" t="inlineStr">
        <is>
          <t>دبلوم</t>
        </is>
      </c>
      <c r="R53" s="183" t="inlineStr">
        <is>
          <t>نعم</t>
        </is>
      </c>
      <c r="S53" s="183" t="inlineStr">
        <is>
          <t>2028-09-24</t>
        </is>
      </c>
      <c r="T53" s="183" t="inlineStr">
        <is>
          <t>مدير تقنية المعلومات</t>
        </is>
      </c>
    </row>
    <row r="54">
      <c r="A54" s="188" t="n">
        <v>300294</v>
      </c>
      <c r="B54" s="179" t="inlineStr">
        <is>
          <t>Hassan Ali</t>
        </is>
      </c>
      <c r="C54" s="179" t="inlineStr">
        <is>
          <t>ذكر</t>
        </is>
      </c>
      <c r="D54" s="179" t="inlineStr">
        <is>
          <t>السودان</t>
        </is>
      </c>
      <c r="E54" s="179" t="inlineStr">
        <is>
          <t>1990-06-03</t>
        </is>
      </c>
      <c r="F54" s="179" t="inlineStr">
        <is>
          <t>2015/12/14</t>
        </is>
      </c>
      <c r="G54" s="179" t="inlineStr">
        <is>
          <t>مستشفى الملك فهد التخصصي</t>
        </is>
      </c>
      <c r="H54" s="179" t="inlineStr">
        <is>
          <t>مستشفى مرجعي</t>
        </is>
      </c>
      <c r="I54" s="179" t="inlineStr">
        <is>
          <t>الإدارة التنفيذية للمستشفيات</t>
        </is>
      </c>
      <c r="J54" s="179" t="inlineStr">
        <is>
          <t>تمريض</t>
        </is>
      </c>
      <c r="K54" s="179" t="inlineStr">
        <is>
          <t>أخصائي تمريض</t>
        </is>
      </c>
      <c r="L54" s="179" t="inlineStr">
        <is>
          <t>أخصائي تمريض</t>
        </is>
      </c>
      <c r="M54" s="179" t="inlineStr">
        <is>
          <t>عقود تشغيل</t>
        </is>
      </c>
      <c r="N54" s="179" t="inlineStr">
        <is>
          <t>على رأس العمل</t>
        </is>
      </c>
      <c r="O54" s="180" t="n">
        <v>12150</v>
      </c>
      <c r="P54" s="182" t="n">
        <v>84.5</v>
      </c>
      <c r="Q54" s="179" t="inlineStr">
        <is>
          <t>ماجستير</t>
        </is>
      </c>
      <c r="R54" s="179" t="inlineStr">
        <is>
          <t>نعم</t>
        </is>
      </c>
      <c r="S54" s="179" t="inlineStr">
        <is>
          <t>24/05/2027</t>
        </is>
      </c>
      <c r="T54" s="179" t="inlineStr">
        <is>
          <t>أخصائي تمريض - أقسام داخلية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22" customWidth="1" min="3" max="3"/>
    <col width="10" customWidth="1" min="4" max="4"/>
    <col width="32" customWidth="1" min="5" max="5"/>
    <col width="48" customWidth="1" min="6" max="6"/>
    <col width="48" customWidth="1" min="7" max="7"/>
  </cols>
  <sheetData>
    <row r="1" ht="30" customHeight="1">
      <c r="A1" s="178" t="inlineStr">
        <is>
          <t>الرقم_الوظيفي</t>
        </is>
      </c>
      <c r="B1" s="178" t="inlineStr">
        <is>
          <t>اسم_الموظف</t>
        </is>
      </c>
      <c r="C1" s="178" t="inlineStr">
        <is>
          <t>المحور</t>
        </is>
      </c>
      <c r="D1" s="178" t="inlineStr">
        <is>
          <t>الأولوية</t>
        </is>
      </c>
      <c r="E1" s="178" t="inlineStr">
        <is>
          <t>نوع_الملاحظة</t>
        </is>
      </c>
      <c r="F1" s="178" t="inlineStr">
        <is>
          <t>التفاصيل</t>
        </is>
      </c>
      <c r="G1" s="178" t="inlineStr">
        <is>
          <t>الإجراء_المقترح</t>
        </is>
      </c>
    </row>
    <row r="2">
      <c r="A2" s="188" t="n">
        <v>300105</v>
      </c>
      <c r="B2" s="179" t="inlineStr">
        <is>
          <t>Anita Sharma</t>
        </is>
      </c>
      <c r="C2" s="179" t="inlineStr">
        <is>
          <t>مخاطر التصنيف المهني</t>
        </is>
      </c>
      <c r="D2" s="179" t="inlineStr">
        <is>
          <t>حرج</t>
        </is>
      </c>
      <c r="E2" s="179" t="inlineStr">
        <is>
          <t>تصنيف مهني منتهي</t>
        </is>
      </c>
      <c r="F2" s="166" t="inlineStr">
        <is>
          <t>تاريخ الانتهاء 2026-05-06؛ الحالة الوظيفية: على رأس العمل.</t>
        </is>
      </c>
      <c r="G2" s="166" t="inlineStr">
        <is>
          <t>التحقق من التجديد فوراً، مع أولوية الحالات على رأس العمل.</t>
        </is>
      </c>
    </row>
    <row r="3">
      <c r="A3" s="191" t="n">
        <v>300131</v>
      </c>
      <c r="B3" s="183" t="inlineStr">
        <is>
          <t>أحمد الزهراني</t>
        </is>
      </c>
      <c r="C3" s="183" t="inlineStr">
        <is>
          <t>امتثال/بيانات</t>
        </is>
      </c>
      <c r="D3" s="183" t="inlineStr">
        <is>
          <t>متوسط</t>
        </is>
      </c>
      <c r="E3" s="183" t="inlineStr">
        <is>
          <t>حالة تسجيل مهني تحتاج تحقق</t>
        </is>
      </c>
      <c r="F3" s="172" t="inlineStr">
        <is>
          <t>الفئة تمريض والمسمى أخصائي تمريض مع قيمة التسجيل المهني = لا.</t>
        </is>
      </c>
      <c r="G3" s="172" t="inlineStr">
        <is>
          <t>التحقق من متطلبات التسجيل المهني وصحة الحقل.</t>
        </is>
      </c>
    </row>
    <row r="4">
      <c r="A4" s="188" t="n">
        <v>300142</v>
      </c>
      <c r="B4" s="179" t="inlineStr">
        <is>
          <t>لمى البلوي</t>
        </is>
      </c>
      <c r="C4" s="179" t="inlineStr">
        <is>
          <t>مخاطر التصنيف المهني</t>
        </is>
      </c>
      <c r="D4" s="179" t="inlineStr">
        <is>
          <t>حرج</t>
        </is>
      </c>
      <c r="E4" s="179" t="inlineStr">
        <is>
          <t>تصنيف مهني منتهي</t>
        </is>
      </c>
      <c r="F4" s="166" t="inlineStr">
        <is>
          <t>تاريخ الانتهاء 2026-08-11؛ الحالة الوظيفية: على رأس العمل.</t>
        </is>
      </c>
      <c r="G4" s="166" t="inlineStr">
        <is>
          <t>التحقق من التجديد فوراً، مع أولوية الحالات على رأس العمل.</t>
        </is>
      </c>
    </row>
    <row r="5">
      <c r="A5" s="191" t="n">
        <v>300162</v>
      </c>
      <c r="B5" s="183" t="inlineStr">
        <is>
          <t>عمر البلوي</t>
        </is>
      </c>
      <c r="C5" s="183" t="inlineStr">
        <is>
          <t>امتثال/بيانات</t>
        </is>
      </c>
      <c r="D5" s="183" t="inlineStr">
        <is>
          <t>متوسط</t>
        </is>
      </c>
      <c r="E5" s="183" t="inlineStr">
        <is>
          <t>حالة تسجيل مهني تحتاج تحقق</t>
        </is>
      </c>
      <c r="F5" s="172" t="inlineStr">
        <is>
          <t>الفئة الصحة المساعدة والمسمى فني مختبر مع قيمة التسجيل المهني = لا.</t>
        </is>
      </c>
      <c r="G5" s="172" t="inlineStr">
        <is>
          <t>التحقق من متطلبات التسجيل المهني وصحة الحقل.</t>
        </is>
      </c>
    </row>
    <row r="6">
      <c r="A6" s="188" t="n">
        <v>300169</v>
      </c>
      <c r="B6" s="179" t="inlineStr">
        <is>
          <t>أروى الزهراني</t>
        </is>
      </c>
      <c r="C6" s="179" t="inlineStr">
        <is>
          <t>جودة البيانات</t>
        </is>
      </c>
      <c r="D6" s="179" t="inlineStr">
        <is>
          <t>عالٍ</t>
        </is>
      </c>
      <c r="E6" s="179" t="inlineStr">
        <is>
          <t>حالة وظيفية مفقودة</t>
        </is>
      </c>
      <c r="F6" s="166" t="inlineStr">
        <is>
          <t>حقل الحالة الوظيفية فارغ.</t>
        </is>
      </c>
      <c r="G6" s="166" t="inlineStr">
        <is>
          <t>استكمال الحالة قبل استخدام السجل في قرارات القوى العاملة.</t>
        </is>
      </c>
    </row>
    <row r="7">
      <c r="A7" s="191" t="n">
        <v>300177</v>
      </c>
      <c r="B7" s="183" t="inlineStr">
        <is>
          <t>شهد الشمري</t>
        </is>
      </c>
      <c r="C7" s="183" t="inlineStr">
        <is>
          <t>جودة البيانات</t>
        </is>
      </c>
      <c r="D7" s="183" t="inlineStr">
        <is>
          <t>عالٍ</t>
        </is>
      </c>
      <c r="E7" s="183" t="inlineStr">
        <is>
          <t>راتب أساسي = 0</t>
        </is>
      </c>
      <c r="F7" s="172" t="inlineStr">
        <is>
          <t>الراتب الأساسي مسجل بقيمة صفر.</t>
        </is>
      </c>
      <c r="G7" s="172" t="inlineStr">
        <is>
          <t>التحقق من مصدر الراتب قبل أي تحليل مالي.</t>
        </is>
      </c>
    </row>
    <row r="8">
      <c r="A8" s="188" t="n">
        <v>300204</v>
      </c>
      <c r="B8" s="179" t="inlineStr">
        <is>
          <t>Fatima Noor</t>
        </is>
      </c>
      <c r="C8" s="179" t="inlineStr">
        <is>
          <t>مواءمة القوى العاملة</t>
        </is>
      </c>
      <c r="D8" s="179" t="inlineStr">
        <is>
          <t>عالٍ</t>
        </is>
      </c>
      <c r="E8" s="179" t="inlineStr">
        <is>
          <t>تعارض بين المسمى والعمل الفعلي</t>
        </is>
      </c>
      <c r="F8" s="166" t="inlineStr">
        <is>
          <t>المسمى سائق إسعاف بينما جهة العمل الفعلية طبيب أسنان</t>
        </is>
      </c>
      <c r="G8" s="166" t="inlineStr">
        <is>
          <t>مراجعة التكليف/النقل أو تحديث المسمى والفئة وجهة العمل الفعلية.</t>
        </is>
      </c>
    </row>
    <row r="9">
      <c r="A9" s="191" t="n">
        <v>300217</v>
      </c>
      <c r="B9" s="183" t="inlineStr">
        <is>
          <t>ناصر الصاعدي</t>
        </is>
      </c>
      <c r="C9" s="183" t="inlineStr">
        <is>
          <t>جودة البيانات</t>
        </is>
      </c>
      <c r="D9" s="183" t="inlineStr">
        <is>
          <t>عالٍ</t>
        </is>
      </c>
      <c r="E9" s="183" t="inlineStr">
        <is>
          <t>تقييم أداء خارج النطاق</t>
        </is>
      </c>
      <c r="F9" s="172" t="inlineStr">
        <is>
          <t>القيمة المسجلة -3 وخارج نطاق 0-100.</t>
        </is>
      </c>
      <c r="G9" s="172" t="inlineStr">
        <is>
          <t>تصحيح التقييم أو استبعاده من متوسط الأداء لحين التحقق.</t>
        </is>
      </c>
    </row>
    <row r="10">
      <c r="A10" s="188" t="n">
        <v>300217</v>
      </c>
      <c r="B10" s="179" t="inlineStr">
        <is>
          <t>ناصر الصاعدي</t>
        </is>
      </c>
      <c r="C10" s="179" t="inlineStr">
        <is>
          <t>مواءمة القوى العاملة</t>
        </is>
      </c>
      <c r="D10" s="179" t="inlineStr">
        <is>
          <t>عالٍ</t>
        </is>
      </c>
      <c r="E10" s="179" t="inlineStr">
        <is>
          <t>تعارض بين المسمى والعمل الفعلي</t>
        </is>
      </c>
      <c r="F10" s="166" t="inlineStr">
        <is>
          <t>المسمى طبيب مقيم بينما جهة العمل الفعلية سائق إسعاف</t>
        </is>
      </c>
      <c r="G10" s="166" t="inlineStr">
        <is>
          <t>مراجعة التكليف/النقل أو تحديث المسمى والفئة وجهة العمل الفعلية.</t>
        </is>
      </c>
    </row>
    <row r="11">
      <c r="A11" s="191" t="n">
        <v>300217</v>
      </c>
      <c r="B11" s="183" t="inlineStr">
        <is>
          <t>ناصر الصاعدي</t>
        </is>
      </c>
      <c r="C11" s="183" t="inlineStr">
        <is>
          <t>مخاطر التصنيف المهني</t>
        </is>
      </c>
      <c r="D11" s="183" t="inlineStr">
        <is>
          <t>حرج</t>
        </is>
      </c>
      <c r="E11" s="183" t="inlineStr">
        <is>
          <t>تصنيف مهني منتهي</t>
        </is>
      </c>
      <c r="F11" s="172" t="inlineStr">
        <is>
          <t>تاريخ الانتهاء 2026-06-24؛ الحالة الوظيفية: على رأس العمل.</t>
        </is>
      </c>
      <c r="G11" s="172" t="inlineStr">
        <is>
          <t>التحقق من التجديد فوراً، مع أولوية الحالات على رأس العمل.</t>
        </is>
      </c>
    </row>
    <row r="12">
      <c r="A12" s="188" t="n">
        <v>300227</v>
      </c>
      <c r="B12" s="179" t="inlineStr">
        <is>
          <t>يزيد العطوي</t>
        </is>
      </c>
      <c r="C12" s="179" t="inlineStr">
        <is>
          <t>جودة البيانات</t>
        </is>
      </c>
      <c r="D12" s="179" t="inlineStr">
        <is>
          <t>عالٍ</t>
        </is>
      </c>
      <c r="E12" s="179" t="inlineStr">
        <is>
          <t>حالة وظيفية مفقودة</t>
        </is>
      </c>
      <c r="F12" s="166" t="inlineStr">
        <is>
          <t>حقل الحالة الوظيفية فارغ.</t>
        </is>
      </c>
      <c r="G12" s="166" t="inlineStr">
        <is>
          <t>استكمال الحالة قبل استخدام السجل في قرارات القوى العاملة.</t>
        </is>
      </c>
    </row>
    <row r="13">
      <c r="A13" s="191" t="n">
        <v>300227</v>
      </c>
      <c r="B13" s="183" t="inlineStr">
        <is>
          <t>يزيد العطوي</t>
        </is>
      </c>
      <c r="C13" s="183" t="inlineStr">
        <is>
          <t>مواءمة القوى العاملة</t>
        </is>
      </c>
      <c r="D13" s="183" t="inlineStr">
        <is>
          <t>عالٍ</t>
        </is>
      </c>
      <c r="E13" s="183" t="inlineStr">
        <is>
          <t>تعارض بين المسمى والعمل الفعلي</t>
        </is>
      </c>
      <c r="F13" s="172" t="inlineStr">
        <is>
          <t>المسمى فني صيدلة بينما جهة العمل الفعلية مدير تقنية المعلومات</t>
        </is>
      </c>
      <c r="G13" s="172" t="inlineStr">
        <is>
          <t>مراجعة التكليف/النقل أو تحديث المسمى والفئة وجهة العمل الفعلية.</t>
        </is>
      </c>
    </row>
    <row r="14">
      <c r="A14" s="188" t="n">
        <v>300252</v>
      </c>
      <c r="B14" s="179" t="inlineStr">
        <is>
          <t>Joseph Cruz</t>
        </is>
      </c>
      <c r="C14" s="179" t="inlineStr">
        <is>
          <t>مخاطر التصنيف المهني</t>
        </is>
      </c>
      <c r="D14" s="179" t="inlineStr">
        <is>
          <t>حرج</t>
        </is>
      </c>
      <c r="E14" s="179" t="inlineStr">
        <is>
          <t>تصنيف مهني منتهي</t>
        </is>
      </c>
      <c r="F14" s="166" t="inlineStr">
        <is>
          <t>تاريخ الانتهاء 2025-01-31؛ الحالة الوظيفية: على رأس العمل.</t>
        </is>
      </c>
      <c r="G14" s="166" t="inlineStr">
        <is>
          <t>التحقق من التجديد فوراً، مع أولوية الحالات على رأس العمل.</t>
        </is>
      </c>
    </row>
    <row r="15">
      <c r="A15" s="191" t="n">
        <v>300257</v>
      </c>
      <c r="B15" s="183" t="inlineStr">
        <is>
          <t>محمد القحطاني</t>
        </is>
      </c>
      <c r="C15" s="183" t="inlineStr">
        <is>
          <t>مخاطر التصنيف المهني</t>
        </is>
      </c>
      <c r="D15" s="183" t="inlineStr">
        <is>
          <t>حرج</t>
        </is>
      </c>
      <c r="E15" s="183" t="inlineStr">
        <is>
          <t>تصنيف مهني منتهي</t>
        </is>
      </c>
      <c r="F15" s="172" t="inlineStr">
        <is>
          <t>تاريخ الانتهاء 2026-02-08؛ الحالة الوظيفية: على رأس العمل.</t>
        </is>
      </c>
      <c r="G15" s="172" t="inlineStr">
        <is>
          <t>التحقق من التجديد فوراً، مع أولوية الحالات على رأس العمل.</t>
        </is>
      </c>
    </row>
    <row r="16">
      <c r="A16" s="188" t="n">
        <v>300267</v>
      </c>
      <c r="B16" s="179" t="inlineStr">
        <is>
          <t>غادة القحطاني</t>
        </is>
      </c>
      <c r="C16" s="179" t="inlineStr">
        <is>
          <t>جودة البيانات</t>
        </is>
      </c>
      <c r="D16" s="179" t="inlineStr">
        <is>
          <t>عالٍ</t>
        </is>
      </c>
      <c r="E16" s="179" t="inlineStr">
        <is>
          <t>حالة وظيفية مفقودة</t>
        </is>
      </c>
      <c r="F16" s="166" t="inlineStr">
        <is>
          <t>حقل الحالة الوظيفية فارغ.</t>
        </is>
      </c>
      <c r="G16" s="166" t="inlineStr">
        <is>
          <t>استكمال الحالة قبل استخدام السجل في قرارات القوى العاملة.</t>
        </is>
      </c>
    </row>
    <row r="17">
      <c r="A17" s="191" t="n">
        <v>300279</v>
      </c>
      <c r="B17" s="183" t="inlineStr">
        <is>
          <t>Hassan Ali</t>
        </is>
      </c>
      <c r="C17" s="183" t="inlineStr">
        <is>
          <t>جودة البيانات</t>
        </is>
      </c>
      <c r="D17" s="183" t="inlineStr">
        <is>
          <t>عالٍ</t>
        </is>
      </c>
      <c r="E17" s="183" t="inlineStr">
        <is>
          <t>عمر عند التعيين غير منطقي</t>
        </is>
      </c>
      <c r="F17" s="172" t="inlineStr">
        <is>
          <t>العمر المحسوب عند التعيين ≈ 2.9 سنة.</t>
        </is>
      </c>
      <c r="G17" s="172" t="inlineStr">
        <is>
          <t>التحقق من تاريخ الميلاد أو تاريخ التعيين.</t>
        </is>
      </c>
    </row>
    <row r="18">
      <c r="A18" s="188" t="n">
        <v>300279</v>
      </c>
      <c r="B18" s="179" t="inlineStr">
        <is>
          <t>Hassan Ali</t>
        </is>
      </c>
      <c r="C18" s="179" t="inlineStr">
        <is>
          <t>مخاطر التصنيف المهني</t>
        </is>
      </c>
      <c r="D18" s="179" t="inlineStr">
        <is>
          <t>عالٍ</t>
        </is>
      </c>
      <c r="E18" s="179" t="inlineStr">
        <is>
          <t>تصنيف ينتهي خلال 90 يوم</t>
        </is>
      </c>
      <c r="F18" s="166" t="inlineStr">
        <is>
          <t>تاريخ الانتهاء 2026-09-10 بعد 22 يومًا.</t>
        </is>
      </c>
      <c r="G18" s="166" t="inlineStr">
        <is>
          <t>بدء إجراءات التجديد قبل تاريخ الانتهاء.</t>
        </is>
      </c>
    </row>
    <row r="19">
      <c r="A19" s="191" t="n">
        <v>300304</v>
      </c>
      <c r="B19" s="183" t="inlineStr">
        <is>
          <t>ناصر الحويطي</t>
        </is>
      </c>
      <c r="C19" s="183" t="inlineStr">
        <is>
          <t>جودة البيانات</t>
        </is>
      </c>
      <c r="D19" s="183" t="inlineStr">
        <is>
          <t>عالٍ</t>
        </is>
      </c>
      <c r="E19" s="183" t="inlineStr">
        <is>
          <t>حالة وظيفية مفقودة</t>
        </is>
      </c>
      <c r="F19" s="172" t="inlineStr">
        <is>
          <t>حقل الحالة الوظيفية فارغ.</t>
        </is>
      </c>
      <c r="G19" s="172" t="inlineStr">
        <is>
          <t>استكمال الحالة قبل استخدام السجل في قرارات القوى العاملة.</t>
        </is>
      </c>
    </row>
    <row r="20">
      <c r="A20" s="188" t="n">
        <v>300304</v>
      </c>
      <c r="B20" s="179" t="inlineStr">
        <is>
          <t>ناصر الحويطي</t>
        </is>
      </c>
      <c r="C20" s="179" t="inlineStr">
        <is>
          <t>مخاطر التصنيف المهني</t>
        </is>
      </c>
      <c r="D20" s="179" t="inlineStr">
        <is>
          <t>عالٍ</t>
        </is>
      </c>
      <c r="E20" s="179" t="inlineStr">
        <is>
          <t>تصنيف مهني منتهي</t>
        </is>
      </c>
      <c r="F20" s="166" t="inlineStr">
        <is>
          <t>تاريخ الانتهاء 2025-08-01؛ الحالة الوظيفية: غير محدد.</t>
        </is>
      </c>
      <c r="G20" s="166" t="inlineStr">
        <is>
          <t>التحقق من التجديد فوراً، مع أولوية الحالات على رأس العمل.</t>
        </is>
      </c>
    </row>
    <row r="21">
      <c r="A21" s="191" t="n">
        <v>300312</v>
      </c>
      <c r="B21" s="183" t="inlineStr">
        <is>
          <t>أروى المطيري</t>
        </is>
      </c>
      <c r="C21" s="183" t="inlineStr">
        <is>
          <t>جودة البيانات</t>
        </is>
      </c>
      <c r="D21" s="183" t="inlineStr">
        <is>
          <t>عالٍ</t>
        </is>
      </c>
      <c r="E21" s="183" t="inlineStr">
        <is>
          <t>حالة وظيفية مفقودة</t>
        </is>
      </c>
      <c r="F21" s="172" t="inlineStr">
        <is>
          <t>حقل الحالة الوظيفية فارغ.</t>
        </is>
      </c>
      <c r="G21" s="172" t="inlineStr">
        <is>
          <t>استكمال الحالة قبل استخدام السجل في قرارات القوى العاملة.</t>
        </is>
      </c>
    </row>
    <row r="22">
      <c r="A22" s="188" t="n">
        <v>300312</v>
      </c>
      <c r="B22" s="179" t="inlineStr">
        <is>
          <t>أروى المطيري</t>
        </is>
      </c>
      <c r="C22" s="179" t="inlineStr">
        <is>
          <t>مخاطر التصنيف المهني</t>
        </is>
      </c>
      <c r="D22" s="179" t="inlineStr">
        <is>
          <t>عالٍ</t>
        </is>
      </c>
      <c r="E22" s="179" t="inlineStr">
        <is>
          <t>تصنيف مهني منتهي</t>
        </is>
      </c>
      <c r="F22" s="166" t="inlineStr">
        <is>
          <t>تاريخ الانتهاء 2026-04-05؛ الحالة الوظيفية: غير محدد.</t>
        </is>
      </c>
      <c r="G22" s="166" t="inlineStr">
        <is>
          <t>التحقق من التجديد فوراً، مع أولوية الحالات على رأس العمل.</t>
        </is>
      </c>
    </row>
    <row r="23">
      <c r="A23" s="191" t="n">
        <v>300317</v>
      </c>
      <c r="B23" s="183" t="inlineStr">
        <is>
          <t>دانة الحربي</t>
        </is>
      </c>
      <c r="C23" s="183" t="inlineStr">
        <is>
          <t>مواءمة القوى العاملة</t>
        </is>
      </c>
      <c r="D23" s="183" t="inlineStr">
        <is>
          <t>عالٍ</t>
        </is>
      </c>
      <c r="E23" s="183" t="inlineStr">
        <is>
          <t>تعارض بين المسمى والعمل الفعلي</t>
        </is>
      </c>
      <c r="F23" s="172" t="inlineStr">
        <is>
          <t>المسمى فني صيانة بينما جهة العمل الفعلية أخصائي أشعة - الرنين المغناطيسي</t>
        </is>
      </c>
      <c r="G23" s="172" t="inlineStr">
        <is>
          <t>مراجعة التكليف/النقل أو تحديث المسمى والفئة وجهة العمل الفعلية.</t>
        </is>
      </c>
    </row>
    <row r="24">
      <c r="A24" s="188" t="n">
        <v>300325</v>
      </c>
      <c r="B24" s="179" t="inlineStr">
        <is>
          <t>مشعل الحويطي</t>
        </is>
      </c>
      <c r="C24" s="179" t="inlineStr">
        <is>
          <t>امتثال/بيانات</t>
        </is>
      </c>
      <c r="D24" s="179" t="inlineStr">
        <is>
          <t>متوسط</t>
        </is>
      </c>
      <c r="E24" s="179" t="inlineStr">
        <is>
          <t>حالة تسجيل مهني تحتاج تحقق</t>
        </is>
      </c>
      <c r="F24" s="166" t="inlineStr">
        <is>
          <t>الفئة أطباء والمسمى استشاري نساء وولادة مع قيمة التسجيل المهني = لا.</t>
        </is>
      </c>
      <c r="G24" s="166" t="inlineStr">
        <is>
          <t>التحقق من متطلبات التسجيل المهني وصحة الحقل.</t>
        </is>
      </c>
    </row>
    <row r="25">
      <c r="A25" s="191" t="n">
        <v>300335</v>
      </c>
      <c r="B25" s="183" t="inlineStr">
        <is>
          <t>Ahmed Fathy</t>
        </is>
      </c>
      <c r="C25" s="183" t="inlineStr">
        <is>
          <t>مخاطر التصنيف المهني</t>
        </is>
      </c>
      <c r="D25" s="183" t="inlineStr">
        <is>
          <t>حرج</t>
        </is>
      </c>
      <c r="E25" s="183" t="inlineStr">
        <is>
          <t>تصنيف مهني منتهي</t>
        </is>
      </c>
      <c r="F25" s="172" t="inlineStr">
        <is>
          <t>تاريخ الانتهاء 2026-07-09؛ الحالة الوظيفية: على رأس العمل.</t>
        </is>
      </c>
      <c r="G25" s="172" t="inlineStr">
        <is>
          <t>التحقق من التجديد فوراً، مع أولوية الحالات على رأس العمل.</t>
        </is>
      </c>
    </row>
    <row r="26">
      <c r="A26" s="188" t="n">
        <v>300344</v>
      </c>
      <c r="B26" s="179" t="inlineStr">
        <is>
          <t>عبدالله البلوي</t>
        </is>
      </c>
      <c r="C26" s="179" t="inlineStr">
        <is>
          <t>مخاطر التصنيف المهني</t>
        </is>
      </c>
      <c r="D26" s="179" t="inlineStr">
        <is>
          <t>حرج</t>
        </is>
      </c>
      <c r="E26" s="179" t="inlineStr">
        <is>
          <t>تصنيف مهني منتهي</t>
        </is>
      </c>
      <c r="F26" s="166" t="inlineStr">
        <is>
          <t>تاريخ الانتهاء 2025-09-12؛ الحالة الوظيفية: على رأس العمل.</t>
        </is>
      </c>
      <c r="G26" s="166" t="inlineStr">
        <is>
          <t>التحقق من التجديد فوراً، مع أولوية الحالات على رأس العمل.</t>
        </is>
      </c>
    </row>
    <row r="27">
      <c r="A27" s="191" t="n">
        <v>300351</v>
      </c>
      <c r="B27" s="183" t="inlineStr">
        <is>
          <t>ماجد القحطاني</t>
        </is>
      </c>
      <c r="C27" s="183" t="inlineStr">
        <is>
          <t>جودة البيانات</t>
        </is>
      </c>
      <c r="D27" s="183" t="inlineStr">
        <is>
          <t>متوسط</t>
        </is>
      </c>
      <c r="E27" s="183" t="inlineStr">
        <is>
          <t>عمر مرتفع يحتاج تحقق</t>
        </is>
      </c>
      <c r="F27" s="172" t="inlineStr">
        <is>
          <t>العمر المحسوب بتاريخ التحليل ≈ 88 سنة.</t>
        </is>
      </c>
      <c r="G27" s="172" t="inlineStr">
        <is>
          <t>التحقق من تاريخ الميلاد والحالة الوظيفية.</t>
        </is>
      </c>
    </row>
    <row r="28">
      <c r="A28" s="188" t="n">
        <v>300363</v>
      </c>
      <c r="B28" s="179" t="inlineStr">
        <is>
          <t>بندر العنزي</t>
        </is>
      </c>
      <c r="C28" s="179" t="inlineStr">
        <is>
          <t>جودة البيانات</t>
        </is>
      </c>
      <c r="D28" s="179" t="inlineStr">
        <is>
          <t>عالٍ</t>
        </is>
      </c>
      <c r="E28" s="179" t="inlineStr">
        <is>
          <t>حالة وظيفية مفقودة</t>
        </is>
      </c>
      <c r="F28" s="166" t="inlineStr">
        <is>
          <t>حقل الحالة الوظيفية فارغ.</t>
        </is>
      </c>
      <c r="G28" s="166" t="inlineStr">
        <is>
          <t>استكمال الحالة قبل استخدام السجل في قرارات القوى العاملة.</t>
        </is>
      </c>
    </row>
    <row r="29">
      <c r="A29" s="191" t="n">
        <v>300363</v>
      </c>
      <c r="B29" s="183" t="inlineStr">
        <is>
          <t>بندر العنزي</t>
        </is>
      </c>
      <c r="C29" s="183" t="inlineStr">
        <is>
          <t>مواءمة القوى العاملة</t>
        </is>
      </c>
      <c r="D29" s="183" t="inlineStr">
        <is>
          <t>عالٍ</t>
        </is>
      </c>
      <c r="E29" s="183" t="inlineStr">
        <is>
          <t>تعارض بين المسمى والعمل الفعلي</t>
        </is>
      </c>
      <c r="F29" s="172" t="inlineStr">
        <is>
          <t>المسمى مشرف تمريض بينما جهة العمل الفعلية أمين مستودع</t>
        </is>
      </c>
      <c r="G29" s="172" t="inlineStr">
        <is>
          <t>مراجعة التكليف/النقل أو تحديث المسمى والفئة وجهة العمل الفعلية.</t>
        </is>
      </c>
    </row>
    <row r="30">
      <c r="A30" s="188" t="n">
        <v>300375</v>
      </c>
      <c r="B30" s="179" t="inlineStr">
        <is>
          <t>عبدالله الجهني</t>
        </is>
      </c>
      <c r="C30" s="179" t="inlineStr">
        <is>
          <t>جودة البيانات</t>
        </is>
      </c>
      <c r="D30" s="179" t="inlineStr">
        <is>
          <t>عالٍ</t>
        </is>
      </c>
      <c r="E30" s="179" t="inlineStr">
        <is>
          <t>راتب أساسي = 0</t>
        </is>
      </c>
      <c r="F30" s="166" t="inlineStr">
        <is>
          <t>الراتب الأساسي مسجل بقيمة صفر.</t>
        </is>
      </c>
      <c r="G30" s="166" t="inlineStr">
        <is>
          <t>التحقق من مصدر الراتب قبل أي تحليل مالي.</t>
        </is>
      </c>
    </row>
    <row r="31">
      <c r="A31" s="191" t="n">
        <v>300375</v>
      </c>
      <c r="B31" s="183" t="inlineStr">
        <is>
          <t>عبدالله الجهني</t>
        </is>
      </c>
      <c r="C31" s="183" t="inlineStr">
        <is>
          <t>مواءمة القوى العاملة</t>
        </is>
      </c>
      <c r="D31" s="183" t="inlineStr">
        <is>
          <t>عالٍ</t>
        </is>
      </c>
      <c r="E31" s="183" t="inlineStr">
        <is>
          <t>تعارض بين المسمى والعمل الفعلي</t>
        </is>
      </c>
      <c r="F31" s="172" t="inlineStr">
        <is>
          <t>الفئة/المسمى تمريض بينما جهة العمل الفعلية مدير الشؤون المالية</t>
        </is>
      </c>
      <c r="G31" s="172" t="inlineStr">
        <is>
          <t>مراجعة التكليف/النقل أو تحديث المسمى والفئة وجهة العمل الفعلية.</t>
        </is>
      </c>
    </row>
    <row r="32">
      <c r="A32" s="188" t="n">
        <v>300394</v>
      </c>
      <c r="B32" s="179" t="inlineStr">
        <is>
          <t>مها القحطاني</t>
        </is>
      </c>
      <c r="C32" s="179" t="inlineStr">
        <is>
          <t>جودة البيانات</t>
        </is>
      </c>
      <c r="D32" s="179" t="inlineStr">
        <is>
          <t>متوسط</t>
        </is>
      </c>
      <c r="E32" s="179" t="inlineStr">
        <is>
          <t>تكرار الرقم الوظيفي</t>
        </is>
      </c>
      <c r="F32" s="166" t="inlineStr">
        <is>
          <t>ظهر الرقم الوظيفي في 2 صفوف بالمصدر؛ تم الاحتفاظ بسجل واحد بعد المقارنة.</t>
        </is>
      </c>
      <c r="G32" s="166" t="inlineStr">
        <is>
          <t>مراجعة السجل الأصلي واعتماد سجل موحد.</t>
        </is>
      </c>
    </row>
    <row r="33">
      <c r="A33" s="191" t="n">
        <v>300426</v>
      </c>
      <c r="B33" s="183" t="inlineStr">
        <is>
          <t>يزيد الشمري</t>
        </is>
      </c>
      <c r="C33" s="183" t="inlineStr">
        <is>
          <t>جودة البيانات</t>
        </is>
      </c>
      <c r="D33" s="183" t="inlineStr">
        <is>
          <t>متوسط</t>
        </is>
      </c>
      <c r="E33" s="183" t="inlineStr">
        <is>
          <t>تكرار الرقم الوظيفي</t>
        </is>
      </c>
      <c r="F33" s="172" t="inlineStr">
        <is>
          <t>ظهر الرقم الوظيفي في 2 صفوف بالمصدر؛ تم الاحتفاظ بسجل واحد بعد المقارنة.</t>
        </is>
      </c>
      <c r="G33" s="172" t="inlineStr">
        <is>
          <t>مراجعة السجل الأصلي واعتماد سجل موحد.</t>
        </is>
      </c>
    </row>
    <row r="34">
      <c r="A34" s="188" t="n">
        <v>300436</v>
      </c>
      <c r="B34" s="179" t="inlineStr">
        <is>
          <t>عبدالله الجهني</t>
        </is>
      </c>
      <c r="C34" s="179" t="inlineStr">
        <is>
          <t>مخاطر التصنيف المهني</t>
        </is>
      </c>
      <c r="D34" s="179" t="inlineStr">
        <is>
          <t>حرج</t>
        </is>
      </c>
      <c r="E34" s="179" t="inlineStr">
        <is>
          <t>تصنيف مهني منتهي</t>
        </is>
      </c>
      <c r="F34" s="166" t="inlineStr">
        <is>
          <t>تاريخ الانتهاء 2026-08-16؛ الحالة الوظيفية: على رأس العمل.</t>
        </is>
      </c>
      <c r="G34" s="166" t="inlineStr">
        <is>
          <t>التحقق من التجديد فوراً، مع أولوية الحالات على رأس العمل.</t>
        </is>
      </c>
    </row>
    <row r="35">
      <c r="A35" s="191" t="n">
        <v>300443</v>
      </c>
      <c r="B35" s="183" t="inlineStr">
        <is>
          <t>ناصر الحربي</t>
        </is>
      </c>
      <c r="C35" s="183" t="inlineStr">
        <is>
          <t>جودة البيانات</t>
        </is>
      </c>
      <c r="D35" s="183" t="inlineStr">
        <is>
          <t>عالٍ</t>
        </is>
      </c>
      <c r="E35" s="183" t="inlineStr">
        <is>
          <t>حالة وظيفية مفقودة</t>
        </is>
      </c>
      <c r="F35" s="172" t="inlineStr">
        <is>
          <t>حقل الحالة الوظيفية فارغ.</t>
        </is>
      </c>
      <c r="G35" s="172" t="inlineStr">
        <is>
          <t>استكمال الحالة قبل استخدام السجل في قرارات القوى العاملة.</t>
        </is>
      </c>
    </row>
    <row r="36">
      <c r="A36" s="188" t="n">
        <v>300443</v>
      </c>
      <c r="B36" s="179" t="inlineStr">
        <is>
          <t>ناصر الحربي</t>
        </is>
      </c>
      <c r="C36" s="179" t="inlineStr">
        <is>
          <t>مواءمة القوى العاملة</t>
        </is>
      </c>
      <c r="D36" s="179" t="inlineStr">
        <is>
          <t>عالٍ</t>
        </is>
      </c>
      <c r="E36" s="179" t="inlineStr">
        <is>
          <t>تعارض بين المسمى والعمل الفعلي</t>
        </is>
      </c>
      <c r="F36" s="166" t="inlineStr">
        <is>
          <t>المسمى أخصائي أشعة بينما جهة العمل الفعلية مدير إدارة الموارد البشرية</t>
        </is>
      </c>
      <c r="G36" s="166" t="inlineStr">
        <is>
          <t>مراجعة التكليف/النقل أو تحديث المسمى والفئة وجهة العمل الفعلية.</t>
        </is>
      </c>
    </row>
    <row r="37">
      <c r="A37" s="191" t="n">
        <v>300452</v>
      </c>
      <c r="B37" s="183" t="inlineStr">
        <is>
          <t>Ahmed Fathy</t>
        </is>
      </c>
      <c r="C37" s="183" t="inlineStr">
        <is>
          <t>مواءمة القوى العاملة</t>
        </is>
      </c>
      <c r="D37" s="183" t="inlineStr">
        <is>
          <t>عالٍ</t>
        </is>
      </c>
      <c r="E37" s="183" t="inlineStr">
        <is>
          <t>تعارض بين المسمى والعمل الفعلي</t>
        </is>
      </c>
      <c r="F37" s="172" t="inlineStr">
        <is>
          <t>المسمى أخصائي تمريض بينما جهة العمل الفعلية استشاري جراحة عامة</t>
        </is>
      </c>
      <c r="G37" s="172" t="inlineStr">
        <is>
          <t>مراجعة التكليف/النقل أو تحديث المسمى والفئة وجهة العمل الفعلية.</t>
        </is>
      </c>
    </row>
    <row r="38">
      <c r="A38" s="188" t="n">
        <v>300452</v>
      </c>
      <c r="B38" s="179" t="inlineStr">
        <is>
          <t>Ahmed Fathy</t>
        </is>
      </c>
      <c r="C38" s="179" t="inlineStr">
        <is>
          <t>مخاطر التصنيف المهني</t>
        </is>
      </c>
      <c r="D38" s="179" t="inlineStr">
        <is>
          <t>حرج</t>
        </is>
      </c>
      <c r="E38" s="179" t="inlineStr">
        <is>
          <t>تصنيف مهني منتهي</t>
        </is>
      </c>
      <c r="F38" s="166" t="inlineStr">
        <is>
          <t>تاريخ الانتهاء 2026-02-14؛ الحالة الوظيفية: على رأس العمل.</t>
        </is>
      </c>
      <c r="G38" s="166" t="inlineStr">
        <is>
          <t>التحقق من التجديد فوراً، مع أولوية الحالات على رأس العمل.</t>
        </is>
      </c>
    </row>
    <row r="39">
      <c r="A39" s="191" t="n">
        <v>300462</v>
      </c>
      <c r="B39" s="183" t="inlineStr">
        <is>
          <t>Ahmed Fathy</t>
        </is>
      </c>
      <c r="C39" s="183" t="inlineStr">
        <is>
          <t>جودة البيانات</t>
        </is>
      </c>
      <c r="D39" s="183" t="inlineStr">
        <is>
          <t>متوسط</t>
        </is>
      </c>
      <c r="E39" s="183" t="inlineStr">
        <is>
          <t>تكرار الرقم الوظيفي</t>
        </is>
      </c>
      <c r="F39" s="172" t="inlineStr">
        <is>
          <t>ظهر الرقم الوظيفي في 2 صفوف بالمصدر؛ تم الاحتفاظ بسجل واحد بعد المقارنة.</t>
        </is>
      </c>
      <c r="G39" s="172" t="inlineStr">
        <is>
          <t>مراجعة السجل الأصلي واعتماد سجل موحد.</t>
        </is>
      </c>
    </row>
    <row r="40">
      <c r="A40" s="188" t="n">
        <v>300473</v>
      </c>
      <c r="B40" s="179" t="inlineStr">
        <is>
          <t>ريم الصاعدي</t>
        </is>
      </c>
      <c r="C40" s="179" t="inlineStr">
        <is>
          <t>امتثال/بيانات</t>
        </is>
      </c>
      <c r="D40" s="179" t="inlineStr">
        <is>
          <t>متوسط</t>
        </is>
      </c>
      <c r="E40" s="179" t="inlineStr">
        <is>
          <t>حالة تسجيل مهني تحتاج تحقق</t>
        </is>
      </c>
      <c r="F40" s="166" t="inlineStr">
        <is>
          <t>الفئة تمريض والمسمى أخصائي تمريض مع قيمة التسجيل المهني = لا.</t>
        </is>
      </c>
      <c r="G40" s="166" t="inlineStr">
        <is>
          <t>التحقق من متطلبات التسجيل المهني وصحة الحقل.</t>
        </is>
      </c>
    </row>
    <row r="41">
      <c r="A41" s="191" t="n">
        <v>300476</v>
      </c>
      <c r="B41" s="183" t="inlineStr">
        <is>
          <t>Rajesh Kumar</t>
        </is>
      </c>
      <c r="C41" s="183" t="inlineStr">
        <is>
          <t>مخاطر التصنيف المهني</t>
        </is>
      </c>
      <c r="D41" s="183" t="inlineStr">
        <is>
          <t>حرج</t>
        </is>
      </c>
      <c r="E41" s="183" t="inlineStr">
        <is>
          <t>تصنيف مهني منتهي</t>
        </is>
      </c>
      <c r="F41" s="172" t="inlineStr">
        <is>
          <t>تاريخ الانتهاء 2026-06-20؛ الحالة الوظيفية: على رأس العمل.</t>
        </is>
      </c>
      <c r="G41" s="172" t="inlineStr">
        <is>
          <t>التحقق من التجديد فوراً، مع أولوية الحالات على رأس العمل.</t>
        </is>
      </c>
    </row>
    <row r="42">
      <c r="A42" s="188" t="n">
        <v>300480</v>
      </c>
      <c r="B42" s="179" t="inlineStr">
        <is>
          <t>Maria Santos</t>
        </is>
      </c>
      <c r="C42" s="179" t="inlineStr">
        <is>
          <t>جودة البيانات</t>
        </is>
      </c>
      <c r="D42" s="179" t="inlineStr">
        <is>
          <t>عالٍ</t>
        </is>
      </c>
      <c r="E42" s="179" t="inlineStr">
        <is>
          <t>حالة وظيفية مفقودة</t>
        </is>
      </c>
      <c r="F42" s="166" t="inlineStr">
        <is>
          <t>حقل الحالة الوظيفية فارغ.</t>
        </is>
      </c>
      <c r="G42" s="166" t="inlineStr">
        <is>
          <t>استكمال الحالة قبل استخدام السجل في قرارات القوى العاملة.</t>
        </is>
      </c>
    </row>
    <row r="43">
      <c r="A43" s="191" t="n">
        <v>300480</v>
      </c>
      <c r="B43" s="183" t="inlineStr">
        <is>
          <t>Maria Santos</t>
        </is>
      </c>
      <c r="C43" s="183" t="inlineStr">
        <is>
          <t>مخاطر التصنيف المهني</t>
        </is>
      </c>
      <c r="D43" s="183" t="inlineStr">
        <is>
          <t>عالٍ</t>
        </is>
      </c>
      <c r="E43" s="183" t="inlineStr">
        <is>
          <t>تصنيف مهني منتهي</t>
        </is>
      </c>
      <c r="F43" s="172" t="inlineStr">
        <is>
          <t>تاريخ الانتهاء 2025-03-05؛ الحالة الوظيفية: غير محدد.</t>
        </is>
      </c>
      <c r="G43" s="172" t="inlineStr">
        <is>
          <t>التحقق من التجديد فوراً، مع أولوية الحالات على رأس العمل.</t>
        </is>
      </c>
    </row>
  </sheetData>
  <conditionalFormatting sqref="D2:D43">
    <cfRule type="expression" priority="1" dxfId="4">
      <formula>D2="حرج"</formula>
    </cfRule>
    <cfRule type="expression" priority="2" dxfId="0">
      <formula>D2="عالٍ"</formula>
    </cfRule>
    <cfRule type="expression" priority="3" dxfId="6">
      <formula>D2="متوسط"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15" customWidth="1" min="3" max="3"/>
    <col width="20" customWidth="1" min="4" max="4"/>
    <col width="12" customWidth="1" min="5" max="5"/>
    <col width="20" customWidth="1" min="6" max="6"/>
    <col width="21" customWidth="1" min="7" max="7"/>
    <col width="21" customWidth="1" min="8" max="8"/>
    <col width="29" customWidth="1" min="9" max="9"/>
  </cols>
  <sheetData>
    <row r="1" ht="26" customHeight="1">
      <c r="A1" s="177" t="inlineStr">
        <is>
          <t>تحليل المنشآت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</row>
    <row r="3">
      <c r="A3" s="178" t="inlineStr">
        <is>
          <t>البعد</t>
        </is>
      </c>
      <c r="B3" s="178" t="inlineStr">
        <is>
          <t>إجمالي الموظفين</t>
        </is>
      </c>
      <c r="C3" s="178" t="inlineStr">
        <is>
          <t>على رأس العمل</t>
        </is>
      </c>
      <c r="D3" s="178" t="inlineStr">
        <is>
          <t>نسبة على رأس العمل</t>
        </is>
      </c>
      <c r="E3" s="178" t="inlineStr">
        <is>
          <t>سعودي</t>
        </is>
      </c>
      <c r="F3" s="178" t="inlineStr">
        <is>
          <t>نسبة السعودة</t>
        </is>
      </c>
      <c r="G3" s="178" t="inlineStr">
        <is>
          <t>متوسط الأداء الصحيح</t>
        </is>
      </c>
      <c r="H3" s="178" t="inlineStr">
        <is>
          <t>رواتب على رأس العمل</t>
        </is>
      </c>
      <c r="I3" s="178" t="inlineStr">
        <is>
          <t>تصنيف منتهي - على رأس العمل</t>
        </is>
      </c>
    </row>
    <row r="4">
      <c r="A4" s="179" t="inlineStr">
        <is>
          <t>مستشفى الملك خالد المدني</t>
        </is>
      </c>
      <c r="B4" s="180" t="n">
        <v>23</v>
      </c>
      <c r="C4" s="180" t="n">
        <v>18</v>
      </c>
      <c r="D4" s="181" t="n">
        <v>0.7826086956521739</v>
      </c>
      <c r="E4" s="180" t="n">
        <v>15</v>
      </c>
      <c r="F4" s="181" t="n">
        <v>0.6521739130434783</v>
      </c>
      <c r="G4" s="182" t="n">
        <v>84.59999999999999</v>
      </c>
      <c r="H4" s="180" t="n">
        <v>169650</v>
      </c>
      <c r="I4" s="180" t="n">
        <v>3</v>
      </c>
    </row>
    <row r="5">
      <c r="A5" s="183" t="inlineStr">
        <is>
          <t>مستشفى الملك فهد التخصصي بتبوك</t>
        </is>
      </c>
      <c r="B5" s="184" t="n">
        <v>16</v>
      </c>
      <c r="C5" s="184" t="n">
        <v>10</v>
      </c>
      <c r="D5" s="185" t="n">
        <v>0.625</v>
      </c>
      <c r="E5" s="184" t="n">
        <v>8</v>
      </c>
      <c r="F5" s="185" t="n">
        <v>0.5</v>
      </c>
      <c r="G5" s="186" t="n">
        <v>87.59999999999999</v>
      </c>
      <c r="H5" s="184" t="n">
        <v>169250</v>
      </c>
      <c r="I5" s="184" t="n">
        <v>2</v>
      </c>
    </row>
    <row r="6">
      <c r="A6" s="179" t="inlineStr">
        <is>
          <t>مستشفى ضباء العام</t>
        </is>
      </c>
      <c r="B6" s="180" t="n">
        <v>6</v>
      </c>
      <c r="C6" s="180" t="n">
        <v>5</v>
      </c>
      <c r="D6" s="181" t="n">
        <v>0.8333333333333334</v>
      </c>
      <c r="E6" s="180" t="n">
        <v>3</v>
      </c>
      <c r="F6" s="181" t="n">
        <v>0.5</v>
      </c>
      <c r="G6" s="182" t="n">
        <v>88.09999999999999</v>
      </c>
      <c r="H6" s="180" t="n">
        <v>71900</v>
      </c>
      <c r="I6" s="180" t="n">
        <v>3</v>
      </c>
    </row>
    <row r="7">
      <c r="A7" s="183" t="inlineStr">
        <is>
          <t>مركز صحي المروج</t>
        </is>
      </c>
      <c r="B7" s="184" t="n">
        <v>5</v>
      </c>
      <c r="C7" s="184" t="n">
        <v>3</v>
      </c>
      <c r="D7" s="185" t="n">
        <v>0.6</v>
      </c>
      <c r="E7" s="184" t="n">
        <v>3</v>
      </c>
      <c r="F7" s="185" t="n">
        <v>0.6</v>
      </c>
      <c r="G7" s="186" t="n">
        <v>76.3</v>
      </c>
      <c r="H7" s="184" t="n">
        <v>33400</v>
      </c>
      <c r="I7" s="184" t="n">
        <v>2</v>
      </c>
    </row>
  </sheetData>
  <mergeCells count="1">
    <mergeCell ref="A1:I2"/>
  </mergeCells>
  <pageMargins left="0.7" right="0.7" top="0.75" bottom="0.75" header="0.3" footer="0.3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17" customWidth="1" min="2" max="2"/>
    <col width="15" customWidth="1" min="3" max="3"/>
    <col width="20" customWidth="1" min="4" max="4"/>
    <col width="12" customWidth="1" min="5" max="5"/>
    <col width="20" customWidth="1" min="6" max="6"/>
    <col width="21" customWidth="1" min="7" max="7"/>
    <col width="21" customWidth="1" min="8" max="8"/>
    <col width="29" customWidth="1" min="9" max="9"/>
  </cols>
  <sheetData>
    <row r="1" ht="26" customHeight="1">
      <c r="A1" s="177" t="inlineStr">
        <is>
          <t>تحليل الفئات الوظيفية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</row>
    <row r="3">
      <c r="A3" s="178" t="inlineStr">
        <is>
          <t>البعد</t>
        </is>
      </c>
      <c r="B3" s="178" t="inlineStr">
        <is>
          <t>إجمالي الموظفين</t>
        </is>
      </c>
      <c r="C3" s="178" t="inlineStr">
        <is>
          <t>على رأس العمل</t>
        </is>
      </c>
      <c r="D3" s="178" t="inlineStr">
        <is>
          <t>نسبة على رأس العمل</t>
        </is>
      </c>
      <c r="E3" s="178" t="inlineStr">
        <is>
          <t>سعودي</t>
        </is>
      </c>
      <c r="F3" s="178" t="inlineStr">
        <is>
          <t>نسبة السعودة</t>
        </is>
      </c>
      <c r="G3" s="178" t="inlineStr">
        <is>
          <t>متوسط الأداء الصحيح</t>
        </is>
      </c>
      <c r="H3" s="178" t="inlineStr">
        <is>
          <t>رواتب على رأس العمل</t>
        </is>
      </c>
      <c r="I3" s="178" t="inlineStr">
        <is>
          <t>تصنيف منتهي - على رأس العمل</t>
        </is>
      </c>
    </row>
    <row r="4">
      <c r="A4" s="179" t="inlineStr">
        <is>
          <t>تمريض</t>
        </is>
      </c>
      <c r="B4" s="180" t="n">
        <v>21</v>
      </c>
      <c r="C4" s="180" t="n">
        <v>15</v>
      </c>
      <c r="D4" s="181" t="n">
        <v>0.7142857142857143</v>
      </c>
      <c r="E4" s="180" t="n">
        <v>11</v>
      </c>
      <c r="F4" s="181" t="n">
        <v>0.5238095238095238</v>
      </c>
      <c r="G4" s="182" t="n">
        <v>84.2</v>
      </c>
      <c r="H4" s="180" t="n">
        <v>146900</v>
      </c>
      <c r="I4" s="180" t="n">
        <v>5</v>
      </c>
    </row>
    <row r="5">
      <c r="A5" s="183" t="inlineStr">
        <is>
          <t>الصحة المساعدة</t>
        </is>
      </c>
      <c r="B5" s="184" t="n">
        <v>12</v>
      </c>
      <c r="C5" s="184" t="n">
        <v>8</v>
      </c>
      <c r="D5" s="185" t="n">
        <v>0.6666666666666666</v>
      </c>
      <c r="E5" s="184" t="n">
        <v>9</v>
      </c>
      <c r="F5" s="185" t="n">
        <v>0.75</v>
      </c>
      <c r="G5" s="186" t="n">
        <v>85.5</v>
      </c>
      <c r="H5" s="184" t="n">
        <v>63900</v>
      </c>
      <c r="I5" s="184" t="n">
        <v>1</v>
      </c>
    </row>
    <row r="6">
      <c r="A6" s="179" t="inlineStr">
        <is>
          <t>أطباء</t>
        </is>
      </c>
      <c r="B6" s="180" t="n">
        <v>10</v>
      </c>
      <c r="C6" s="180" t="n">
        <v>7</v>
      </c>
      <c r="D6" s="181" t="n">
        <v>0.7</v>
      </c>
      <c r="E6" s="180" t="n">
        <v>5</v>
      </c>
      <c r="F6" s="181" t="n">
        <v>0.5</v>
      </c>
      <c r="G6" s="182" t="n">
        <v>84.40000000000001</v>
      </c>
      <c r="H6" s="180" t="n">
        <v>180100</v>
      </c>
      <c r="I6" s="180" t="n">
        <v>4</v>
      </c>
    </row>
    <row r="7">
      <c r="A7" s="183" t="inlineStr">
        <is>
          <t>الخدمات المساندة</t>
        </is>
      </c>
      <c r="B7" s="184" t="n">
        <v>3</v>
      </c>
      <c r="C7" s="184" t="n">
        <v>2</v>
      </c>
      <c r="D7" s="185" t="n">
        <v>0.6666666666666666</v>
      </c>
      <c r="E7" s="184" t="n">
        <v>0</v>
      </c>
      <c r="F7" s="185" t="n">
        <v>0</v>
      </c>
      <c r="G7" s="186" t="n">
        <v>85.90000000000001</v>
      </c>
      <c r="H7" s="184" t="n">
        <v>11450</v>
      </c>
      <c r="I7" s="184" t="n">
        <v>0</v>
      </c>
    </row>
    <row r="8">
      <c r="A8" s="179" t="inlineStr">
        <is>
          <t>الإدارية</t>
        </is>
      </c>
      <c r="B8" s="180" t="n">
        <v>3</v>
      </c>
      <c r="C8" s="180" t="n">
        <v>3</v>
      </c>
      <c r="D8" s="181" t="n">
        <v>1</v>
      </c>
      <c r="E8" s="180" t="n">
        <v>3</v>
      </c>
      <c r="F8" s="181" t="n">
        <v>1</v>
      </c>
      <c r="G8" s="182" t="n">
        <v>87.7</v>
      </c>
      <c r="H8" s="180" t="n">
        <v>36750</v>
      </c>
      <c r="I8" s="180" t="n">
        <v>0</v>
      </c>
    </row>
    <row r="9">
      <c r="A9" s="183" t="inlineStr">
        <is>
          <t>الخدمات المعاونة</t>
        </is>
      </c>
      <c r="B9" s="184" t="n">
        <v>1</v>
      </c>
      <c r="C9" s="184" t="n">
        <v>1</v>
      </c>
      <c r="D9" s="185" t="n">
        <v>1</v>
      </c>
      <c r="E9" s="184" t="n">
        <v>1</v>
      </c>
      <c r="F9" s="185" t="n">
        <v>1</v>
      </c>
      <c r="G9" s="186" t="n">
        <v>98</v>
      </c>
      <c r="H9" s="184" t="n">
        <v>5100</v>
      </c>
      <c r="I9" s="184" t="n">
        <v>0</v>
      </c>
    </row>
  </sheetData>
  <mergeCells count="1">
    <mergeCell ref="A1:I2"/>
  </mergeCells>
  <pageMargins left="0.7" right="0.7" top="0.75" bottom="0.75" header="0.3" footer="0.3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7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17" customWidth="1" min="2" max="2"/>
    <col width="15" customWidth="1" min="3" max="3"/>
    <col width="20" customWidth="1" min="4" max="4"/>
    <col width="12" customWidth="1" min="5" max="5"/>
    <col width="20" customWidth="1" min="6" max="6"/>
    <col width="21" customWidth="1" min="7" max="7"/>
    <col width="21" customWidth="1" min="8" max="8"/>
    <col width="29" customWidth="1" min="9" max="9"/>
  </cols>
  <sheetData>
    <row r="1" ht="26" customHeight="1">
      <c r="A1" s="177" t="inlineStr">
        <is>
          <t>تحليل الحالة الوظيفية ونوع التعاقد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</row>
    <row r="3">
      <c r="A3" s="187" t="inlineStr">
        <is>
          <t>الحالة الوظيفية</t>
        </is>
      </c>
      <c r="B3" s="187" t="n"/>
      <c r="C3" s="187" t="n"/>
      <c r="D3" s="187" t="n"/>
      <c r="E3" s="187" t="n"/>
      <c r="F3" s="187" t="n"/>
      <c r="G3" s="187" t="n"/>
      <c r="H3" s="187" t="n"/>
      <c r="I3" s="187" t="n"/>
    </row>
    <row r="4">
      <c r="A4" s="178" t="inlineStr">
        <is>
          <t>البعد</t>
        </is>
      </c>
      <c r="B4" s="178" t="inlineStr">
        <is>
          <t>إجمالي الموظفين</t>
        </is>
      </c>
      <c r="C4" s="178" t="inlineStr">
        <is>
          <t>على رأس العمل</t>
        </is>
      </c>
      <c r="D4" s="178" t="inlineStr">
        <is>
          <t>نسبة على رأس العمل</t>
        </is>
      </c>
      <c r="E4" s="178" t="inlineStr">
        <is>
          <t>سعودي</t>
        </is>
      </c>
      <c r="F4" s="178" t="inlineStr">
        <is>
          <t>نسبة السعودة</t>
        </is>
      </c>
      <c r="G4" s="178" t="inlineStr">
        <is>
          <t>متوسط الأداء الصحيح</t>
        </is>
      </c>
      <c r="H4" s="178" t="inlineStr">
        <is>
          <t>رواتب على رأس العمل</t>
        </is>
      </c>
      <c r="I4" s="178" t="inlineStr">
        <is>
          <t>تصنيف منتهي - على رأس العمل</t>
        </is>
      </c>
    </row>
    <row r="5">
      <c r="A5" s="179" t="inlineStr">
        <is>
          <t>على رأس العمل</t>
        </is>
      </c>
      <c r="B5" s="180" t="n">
        <v>36</v>
      </c>
      <c r="C5" s="180" t="n">
        <v>36</v>
      </c>
      <c r="D5" s="181" t="n">
        <v>1</v>
      </c>
      <c r="E5" s="180" t="n">
        <v>18</v>
      </c>
      <c r="F5" s="181" t="n">
        <v>0.5</v>
      </c>
      <c r="G5" s="182" t="n">
        <v>84.09999999999999</v>
      </c>
      <c r="H5" s="180" t="n">
        <v>444200</v>
      </c>
      <c r="I5" s="180" t="n">
        <v>10</v>
      </c>
    </row>
    <row r="6">
      <c r="A6" s="183" t="inlineStr">
        <is>
          <t>غير محدد</t>
        </is>
      </c>
      <c r="B6" s="184" t="n">
        <v>8</v>
      </c>
      <c r="C6" s="184" t="n">
        <v>0</v>
      </c>
      <c r="D6" s="185" t="n">
        <v>0</v>
      </c>
      <c r="E6" s="184" t="n">
        <v>7</v>
      </c>
      <c r="F6" s="185" t="n">
        <v>0.875</v>
      </c>
      <c r="G6" s="186" t="n">
        <v>85.7</v>
      </c>
      <c r="H6" s="184" t="n">
        <v>0</v>
      </c>
      <c r="I6" s="184" t="n">
        <v>0</v>
      </c>
    </row>
    <row r="7">
      <c r="A7" s="179" t="inlineStr">
        <is>
          <t>منتهي الخدمة</t>
        </is>
      </c>
      <c r="B7" s="180" t="n">
        <v>3</v>
      </c>
      <c r="C7" s="180" t="n">
        <v>0</v>
      </c>
      <c r="D7" s="181" t="n">
        <v>0</v>
      </c>
      <c r="E7" s="180" t="n">
        <v>2</v>
      </c>
      <c r="F7" s="181" t="n">
        <v>0.6666666666666666</v>
      </c>
      <c r="G7" s="182" t="n">
        <v>88</v>
      </c>
      <c r="H7" s="180" t="n">
        <v>0</v>
      </c>
      <c r="I7" s="180" t="n">
        <v>0</v>
      </c>
    </row>
    <row r="8">
      <c r="A8" s="183" t="inlineStr">
        <is>
          <t>إجازة اضطرارية طويلة</t>
        </is>
      </c>
      <c r="B8" s="184" t="n">
        <v>2</v>
      </c>
      <c r="C8" s="184" t="n">
        <v>0</v>
      </c>
      <c r="D8" s="185" t="n">
        <v>0</v>
      </c>
      <c r="E8" s="184" t="n">
        <v>1</v>
      </c>
      <c r="F8" s="185" t="n">
        <v>0.5</v>
      </c>
      <c r="G8" s="186" t="n">
        <v>93.90000000000001</v>
      </c>
      <c r="H8" s="184" t="n">
        <v>0</v>
      </c>
      <c r="I8" s="184" t="n">
        <v>0</v>
      </c>
    </row>
    <row r="9">
      <c r="A9" s="179" t="inlineStr">
        <is>
          <t>موقوف عن العمل</t>
        </is>
      </c>
      <c r="B9" s="180" t="n">
        <v>1</v>
      </c>
      <c r="C9" s="180" t="n">
        <v>0</v>
      </c>
      <c r="D9" s="181" t="n">
        <v>0</v>
      </c>
      <c r="E9" s="180" t="n">
        <v>1</v>
      </c>
      <c r="F9" s="181" t="n">
        <v>1</v>
      </c>
      <c r="G9" s="182" t="n">
        <v>94.59999999999999</v>
      </c>
      <c r="H9" s="180" t="n">
        <v>0</v>
      </c>
      <c r="I9" s="180" t="n">
        <v>0</v>
      </c>
    </row>
    <row r="12">
      <c r="A12" s="187" t="inlineStr">
        <is>
          <t>نوع التعاقد</t>
        </is>
      </c>
      <c r="B12" s="187" t="n"/>
      <c r="C12" s="187" t="n"/>
      <c r="D12" s="187" t="n"/>
      <c r="E12" s="187" t="n"/>
      <c r="F12" s="187" t="n"/>
      <c r="G12" s="187" t="n"/>
      <c r="H12" s="187" t="n"/>
      <c r="I12" s="187" t="n"/>
    </row>
    <row r="13">
      <c r="A13" s="178" t="inlineStr">
        <is>
          <t>البعد</t>
        </is>
      </c>
      <c r="B13" s="178" t="inlineStr">
        <is>
          <t>إجمالي الموظفين</t>
        </is>
      </c>
      <c r="C13" s="178" t="inlineStr">
        <is>
          <t>على رأس العمل</t>
        </is>
      </c>
      <c r="D13" s="178" t="inlineStr">
        <is>
          <t>نسبة على رأس العمل</t>
        </is>
      </c>
      <c r="E13" s="178" t="inlineStr">
        <is>
          <t>سعودي</t>
        </is>
      </c>
      <c r="F13" s="178" t="inlineStr">
        <is>
          <t>نسبة السعودة</t>
        </is>
      </c>
      <c r="G13" s="178" t="inlineStr">
        <is>
          <t>متوسط الأداء الصحيح</t>
        </is>
      </c>
      <c r="H13" s="178" t="inlineStr">
        <is>
          <t>رواتب على رأس العمل</t>
        </is>
      </c>
      <c r="I13" s="178" t="inlineStr">
        <is>
          <t>تصنيف منتهي - على رأس العمل</t>
        </is>
      </c>
    </row>
    <row r="14">
      <c r="A14" s="179" t="inlineStr">
        <is>
          <t>رسمي (بند الوظائف)</t>
        </is>
      </c>
      <c r="B14" s="180" t="n">
        <v>33</v>
      </c>
      <c r="C14" s="180" t="n">
        <v>23</v>
      </c>
      <c r="D14" s="181" t="n">
        <v>0.696969696969697</v>
      </c>
      <c r="E14" s="180" t="n">
        <v>21</v>
      </c>
      <c r="F14" s="181" t="n">
        <v>0.6363636363636364</v>
      </c>
      <c r="G14" s="182" t="n">
        <v>84.40000000000001</v>
      </c>
      <c r="H14" s="180" t="n">
        <v>301450</v>
      </c>
      <c r="I14" s="180" t="n">
        <v>4</v>
      </c>
    </row>
    <row r="15">
      <c r="A15" s="183" t="inlineStr">
        <is>
          <t>تشغيل ذاتي</t>
        </is>
      </c>
      <c r="B15" s="184" t="n">
        <v>8</v>
      </c>
      <c r="C15" s="184" t="n">
        <v>6</v>
      </c>
      <c r="D15" s="185" t="n">
        <v>0.75</v>
      </c>
      <c r="E15" s="184" t="n">
        <v>4</v>
      </c>
      <c r="F15" s="185" t="n">
        <v>0.5</v>
      </c>
      <c r="G15" s="186" t="n">
        <v>89.2</v>
      </c>
      <c r="H15" s="184" t="n">
        <v>63050</v>
      </c>
      <c r="I15" s="184" t="n">
        <v>4</v>
      </c>
    </row>
    <row r="16">
      <c r="A16" s="179" t="inlineStr">
        <is>
          <t>عقود تشغيل</t>
        </is>
      </c>
      <c r="B16" s="180" t="n">
        <v>5</v>
      </c>
      <c r="C16" s="180" t="n">
        <v>5</v>
      </c>
      <c r="D16" s="181" t="n">
        <v>1</v>
      </c>
      <c r="E16" s="180" t="n">
        <v>1</v>
      </c>
      <c r="F16" s="181" t="n">
        <v>0.2</v>
      </c>
      <c r="G16" s="182" t="n">
        <v>83</v>
      </c>
      <c r="H16" s="180" t="n">
        <v>65900</v>
      </c>
      <c r="I16" s="180" t="n">
        <v>2</v>
      </c>
    </row>
    <row r="17">
      <c r="A17" s="183" t="inlineStr">
        <is>
          <t>بند الأجور</t>
        </is>
      </c>
      <c r="B17" s="184" t="n">
        <v>4</v>
      </c>
      <c r="C17" s="184" t="n">
        <v>2</v>
      </c>
      <c r="D17" s="185" t="n">
        <v>0.5</v>
      </c>
      <c r="E17" s="184" t="n">
        <v>3</v>
      </c>
      <c r="F17" s="185" t="n">
        <v>0.75</v>
      </c>
      <c r="G17" s="186" t="n">
        <v>87.2</v>
      </c>
      <c r="H17" s="184" t="n">
        <v>13800</v>
      </c>
      <c r="I17" s="184" t="n">
        <v>0</v>
      </c>
    </row>
  </sheetData>
  <mergeCells count="1">
    <mergeCell ref="A1:I2"/>
  </mergeCells>
  <pageMargins left="0.7" right="0.7" top="0.75" bottom="0.75" header="0.3" footer="0.3"/>
  <drawing xmlns:r="http://schemas.openxmlformats.org/officeDocument/2006/relationships" r:id="rId1"/>
  <tableParts count="2"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8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5" customWidth="1" min="4" max="4"/>
    <col width="16" customWidth="1" min="5" max="5"/>
    <col width="32" customWidth="1" min="6" max="6"/>
    <col width="16" customWidth="1" min="7" max="7"/>
    <col width="17" customWidth="1" min="8" max="8"/>
    <col width="21" customWidth="1" min="9" max="9"/>
    <col width="19" customWidth="1" min="10" max="10"/>
    <col width="17" customWidth="1" min="11" max="11"/>
  </cols>
  <sheetData>
    <row r="1" ht="26" customHeight="1">
      <c r="A1" s="177" t="inlineStr">
        <is>
          <t>مخاطر التصنيف المهني</t>
        </is>
      </c>
      <c r="B1" s="1" t="n"/>
      <c r="C1" s="1" t="n"/>
      <c r="D1" s="1" t="n"/>
      <c r="E1" s="1" t="n"/>
      <c r="F1" s="1" t="n"/>
    </row>
    <row r="2">
      <c r="A2" s="1" t="n"/>
      <c r="B2" s="1" t="n"/>
      <c r="C2" s="1" t="n"/>
      <c r="D2" s="1" t="n"/>
      <c r="E2" s="1" t="n"/>
      <c r="F2" s="1" t="n"/>
    </row>
    <row r="4">
      <c r="A4" s="178" t="inlineStr">
        <is>
          <t>حالة التصنيف</t>
        </is>
      </c>
      <c r="B4" s="178" t="inlineStr">
        <is>
          <t>العدد</t>
        </is>
      </c>
      <c r="D4" s="178" t="inlineStr">
        <is>
          <t>الرقم_الوظيفي</t>
        </is>
      </c>
      <c r="E4" s="178" t="inlineStr">
        <is>
          <t>اسم_الموظف</t>
        </is>
      </c>
      <c r="F4" s="178" t="inlineStr">
        <is>
          <t>المنشأة</t>
        </is>
      </c>
      <c r="G4" s="178" t="inlineStr">
        <is>
          <t>الفئة_الوظيفية</t>
        </is>
      </c>
      <c r="H4" s="178" t="inlineStr">
        <is>
          <t>الحالة_الوظيفية</t>
        </is>
      </c>
      <c r="I4" s="178" t="inlineStr">
        <is>
          <t>تاريخ_الانتهاء</t>
        </is>
      </c>
      <c r="J4" s="178" t="inlineStr">
        <is>
          <t>حالة_التصنيف</t>
        </is>
      </c>
      <c r="K4" s="178" t="inlineStr">
        <is>
          <t>الأيام_المتبقية</t>
        </is>
      </c>
    </row>
    <row r="5">
      <c r="A5" s="179" t="inlineStr">
        <is>
          <t>منتهي</t>
        </is>
      </c>
      <c r="B5" s="180" t="n">
        <v>13</v>
      </c>
      <c r="D5" s="188" t="n">
        <v>300105</v>
      </c>
      <c r="E5" s="179" t="inlineStr">
        <is>
          <t>Anita Sharma</t>
        </is>
      </c>
      <c r="F5" s="179" t="inlineStr">
        <is>
          <t>مستشفى الملك فهد التخصصي بتبوك</t>
        </is>
      </c>
      <c r="G5" s="179" t="inlineStr">
        <is>
          <t>أطباء</t>
        </is>
      </c>
      <c r="H5" s="179" t="inlineStr">
        <is>
          <t>على رأس العمل</t>
        </is>
      </c>
      <c r="I5" s="189" t="n">
        <v>46148</v>
      </c>
      <c r="J5" s="179" t="inlineStr">
        <is>
          <t>منتهي</t>
        </is>
      </c>
      <c r="K5" s="190" t="n">
        <v>-105</v>
      </c>
    </row>
    <row r="6">
      <c r="A6" s="183" t="inlineStr">
        <is>
          <t>ينتهي خلال 90 يوم</t>
        </is>
      </c>
      <c r="B6" s="184" t="n">
        <v>1</v>
      </c>
      <c r="D6" s="191" t="n">
        <v>300142</v>
      </c>
      <c r="E6" s="183" t="inlineStr">
        <is>
          <t>لمى البلوي</t>
        </is>
      </c>
      <c r="F6" s="183" t="inlineStr">
        <is>
          <t>مستشفى الملك خالد المدني</t>
        </is>
      </c>
      <c r="G6" s="183" t="inlineStr">
        <is>
          <t>تمريض</t>
        </is>
      </c>
      <c r="H6" s="183" t="inlineStr">
        <is>
          <t>على رأس العمل</t>
        </is>
      </c>
      <c r="I6" s="192" t="n">
        <v>46245</v>
      </c>
      <c r="J6" s="183" t="inlineStr">
        <is>
          <t>منتهي</t>
        </is>
      </c>
      <c r="K6" s="193" t="n">
        <v>-8</v>
      </c>
    </row>
    <row r="7">
      <c r="A7" s="179" t="inlineStr">
        <is>
          <t>ساري لأكثر من 90 يوم</t>
        </is>
      </c>
      <c r="B7" s="180" t="n">
        <v>21</v>
      </c>
      <c r="D7" s="188" t="n">
        <v>300217</v>
      </c>
      <c r="E7" s="179" t="inlineStr">
        <is>
          <t>ناصر الصاعدي</t>
        </is>
      </c>
      <c r="F7" s="179" t="inlineStr">
        <is>
          <t>مستشفى الملك خالد المدني</t>
        </is>
      </c>
      <c r="G7" s="179" t="inlineStr">
        <is>
          <t>أطباء</t>
        </is>
      </c>
      <c r="H7" s="179" t="inlineStr">
        <is>
          <t>على رأس العمل</t>
        </is>
      </c>
      <c r="I7" s="189" t="n">
        <v>46197</v>
      </c>
      <c r="J7" s="179" t="inlineStr">
        <is>
          <t>منتهي</t>
        </is>
      </c>
      <c r="K7" s="190" t="n">
        <v>-56</v>
      </c>
    </row>
    <row r="8">
      <c r="A8" s="183" t="inlineStr">
        <is>
          <t>غير مسجل</t>
        </is>
      </c>
      <c r="B8" s="184" t="n">
        <v>4</v>
      </c>
      <c r="D8" s="191" t="n">
        <v>300252</v>
      </c>
      <c r="E8" s="183" t="inlineStr">
        <is>
          <t>Joseph Cruz</t>
        </is>
      </c>
      <c r="F8" s="183" t="inlineStr">
        <is>
          <t>مستشفى ضباء العام</t>
        </is>
      </c>
      <c r="G8" s="183" t="inlineStr">
        <is>
          <t>تمريض</t>
        </is>
      </c>
      <c r="H8" s="183" t="inlineStr">
        <is>
          <t>على رأس العمل</t>
        </is>
      </c>
      <c r="I8" s="192" t="n">
        <v>45688</v>
      </c>
      <c r="J8" s="183" t="inlineStr">
        <is>
          <t>منتهي</t>
        </is>
      </c>
      <c r="K8" s="193" t="n">
        <v>-565</v>
      </c>
    </row>
    <row r="9">
      <c r="A9" s="179" t="inlineStr">
        <is>
          <t>لا ينطبق</t>
        </is>
      </c>
      <c r="B9" s="180" t="n">
        <v>11</v>
      </c>
      <c r="D9" s="188" t="n">
        <v>300257</v>
      </c>
      <c r="E9" s="179" t="inlineStr">
        <is>
          <t>محمد القحطاني</t>
        </is>
      </c>
      <c r="F9" s="179" t="inlineStr">
        <is>
          <t>مستشفى ضباء العام</t>
        </is>
      </c>
      <c r="G9" s="179" t="inlineStr">
        <is>
          <t>أطباء</t>
        </is>
      </c>
      <c r="H9" s="179" t="inlineStr">
        <is>
          <t>على رأس العمل</t>
        </is>
      </c>
      <c r="I9" s="189" t="n">
        <v>46061</v>
      </c>
      <c r="J9" s="179" t="inlineStr">
        <is>
          <t>منتهي</t>
        </is>
      </c>
      <c r="K9" s="190" t="n">
        <v>-192</v>
      </c>
    </row>
    <row r="10">
      <c r="D10" s="191" t="n">
        <v>300279</v>
      </c>
      <c r="E10" s="183" t="inlineStr">
        <is>
          <t>Hassan Ali</t>
        </is>
      </c>
      <c r="F10" s="183" t="inlineStr">
        <is>
          <t>مستشفى الملك خالد المدني</t>
        </is>
      </c>
      <c r="G10" s="183" t="inlineStr">
        <is>
          <t>تمريض</t>
        </is>
      </c>
      <c r="H10" s="183" t="inlineStr">
        <is>
          <t>على رأس العمل</t>
        </is>
      </c>
      <c r="I10" s="192" t="n">
        <v>46275</v>
      </c>
      <c r="J10" s="183" t="inlineStr">
        <is>
          <t>ينتهي خلال 90 يوم</t>
        </is>
      </c>
      <c r="K10" s="193" t="n">
        <v>22</v>
      </c>
    </row>
    <row r="11">
      <c r="D11" s="188" t="n">
        <v>300304</v>
      </c>
      <c r="E11" s="179" t="inlineStr">
        <is>
          <t>ناصر الحويطي</t>
        </is>
      </c>
      <c r="F11" s="179" t="inlineStr">
        <is>
          <t>مستشفى ضباء العام</t>
        </is>
      </c>
      <c r="G11" s="179" t="inlineStr">
        <is>
          <t>الصحة المساعدة</t>
        </is>
      </c>
      <c r="H11" s="179" t="inlineStr">
        <is>
          <t>غير محدد</t>
        </is>
      </c>
      <c r="I11" s="189" t="n">
        <v>45870</v>
      </c>
      <c r="J11" s="179" t="inlineStr">
        <is>
          <t>منتهي</t>
        </is>
      </c>
      <c r="K11" s="190" t="n">
        <v>-383</v>
      </c>
    </row>
    <row r="12">
      <c r="D12" s="191" t="n">
        <v>300312</v>
      </c>
      <c r="E12" s="183" t="inlineStr">
        <is>
          <t>أروى المطيري</t>
        </is>
      </c>
      <c r="F12" s="183" t="inlineStr">
        <is>
          <t>مستشفى الملك خالد المدني</t>
        </is>
      </c>
      <c r="G12" s="183" t="inlineStr">
        <is>
          <t>تمريض</t>
        </is>
      </c>
      <c r="H12" s="183" t="inlineStr">
        <is>
          <t>غير محدد</t>
        </is>
      </c>
      <c r="I12" s="192" t="n">
        <v>46117</v>
      </c>
      <c r="J12" s="183" t="inlineStr">
        <is>
          <t>منتهي</t>
        </is>
      </c>
      <c r="K12" s="193" t="n">
        <v>-136</v>
      </c>
    </row>
    <row r="13">
      <c r="D13" s="188" t="n">
        <v>300335</v>
      </c>
      <c r="E13" s="179" t="inlineStr">
        <is>
          <t>Ahmed Fathy</t>
        </is>
      </c>
      <c r="F13" s="179" t="inlineStr">
        <is>
          <t>مستشفى الملك خالد المدني</t>
        </is>
      </c>
      <c r="G13" s="179" t="inlineStr">
        <is>
          <t>أطباء</t>
        </is>
      </c>
      <c r="H13" s="179" t="inlineStr">
        <is>
          <t>على رأس العمل</t>
        </is>
      </c>
      <c r="I13" s="189" t="n">
        <v>46212</v>
      </c>
      <c r="J13" s="179" t="inlineStr">
        <is>
          <t>منتهي</t>
        </is>
      </c>
      <c r="K13" s="190" t="n">
        <v>-41</v>
      </c>
    </row>
    <row r="14">
      <c r="D14" s="191" t="n">
        <v>300344</v>
      </c>
      <c r="E14" s="183" t="inlineStr">
        <is>
          <t>عبدالله البلوي</t>
        </is>
      </c>
      <c r="F14" s="183" t="inlineStr">
        <is>
          <t>مستشفى ضباء العام</t>
        </is>
      </c>
      <c r="G14" s="183" t="inlineStr">
        <is>
          <t>الصحة المساعدة</t>
        </is>
      </c>
      <c r="H14" s="183" t="inlineStr">
        <is>
          <t>على رأس العمل</t>
        </is>
      </c>
      <c r="I14" s="192" t="n">
        <v>45912</v>
      </c>
      <c r="J14" s="183" t="inlineStr">
        <is>
          <t>منتهي</t>
        </is>
      </c>
      <c r="K14" s="193" t="n">
        <v>-341</v>
      </c>
    </row>
    <row r="15">
      <c r="D15" s="188" t="n">
        <v>300436</v>
      </c>
      <c r="E15" s="179" t="inlineStr">
        <is>
          <t>عبدالله الجهني</t>
        </is>
      </c>
      <c r="F15" s="179" t="inlineStr">
        <is>
          <t>مركز صحي المروج</t>
        </is>
      </c>
      <c r="G15" s="179" t="inlineStr">
        <is>
          <t>تمريض</t>
        </is>
      </c>
      <c r="H15" s="179" t="inlineStr">
        <is>
          <t>على رأس العمل</t>
        </is>
      </c>
      <c r="I15" s="189" t="n">
        <v>46250</v>
      </c>
      <c r="J15" s="179" t="inlineStr">
        <is>
          <t>منتهي</t>
        </is>
      </c>
      <c r="K15" s="190" t="n">
        <v>-3</v>
      </c>
    </row>
    <row r="16">
      <c r="D16" s="191" t="n">
        <v>300452</v>
      </c>
      <c r="E16" s="183" t="inlineStr">
        <is>
          <t>Ahmed Fathy</t>
        </is>
      </c>
      <c r="F16" s="183" t="inlineStr">
        <is>
          <t>مركز صحي المروج</t>
        </is>
      </c>
      <c r="G16" s="183" t="inlineStr">
        <is>
          <t>تمريض</t>
        </is>
      </c>
      <c r="H16" s="183" t="inlineStr">
        <is>
          <t>على رأس العمل</t>
        </is>
      </c>
      <c r="I16" s="192" t="n">
        <v>46067</v>
      </c>
      <c r="J16" s="183" t="inlineStr">
        <is>
          <t>منتهي</t>
        </is>
      </c>
      <c r="K16" s="193" t="n">
        <v>-186</v>
      </c>
    </row>
    <row r="17">
      <c r="D17" s="188" t="n">
        <v>300476</v>
      </c>
      <c r="E17" s="179" t="inlineStr">
        <is>
          <t>Rajesh Kumar</t>
        </is>
      </c>
      <c r="F17" s="179" t="inlineStr">
        <is>
          <t>مستشفى الملك فهد التخصصي بتبوك</t>
        </is>
      </c>
      <c r="G17" s="179" t="inlineStr">
        <is>
          <t>تمريض</t>
        </is>
      </c>
      <c r="H17" s="179" t="inlineStr">
        <is>
          <t>على رأس العمل</t>
        </is>
      </c>
      <c r="I17" s="189" t="n">
        <v>46193</v>
      </c>
      <c r="J17" s="179" t="inlineStr">
        <is>
          <t>منتهي</t>
        </is>
      </c>
      <c r="K17" s="190" t="n">
        <v>-60</v>
      </c>
    </row>
    <row r="18">
      <c r="D18" s="191" t="n">
        <v>300480</v>
      </c>
      <c r="E18" s="183" t="inlineStr">
        <is>
          <t>Maria Santos</t>
        </is>
      </c>
      <c r="F18" s="183" t="inlineStr">
        <is>
          <t>مركز صحي المروج</t>
        </is>
      </c>
      <c r="G18" s="183" t="inlineStr">
        <is>
          <t>أطباء</t>
        </is>
      </c>
      <c r="H18" s="183" t="inlineStr">
        <is>
          <t>غير محدد</t>
        </is>
      </c>
      <c r="I18" s="192" t="n">
        <v>45721</v>
      </c>
      <c r="J18" s="183" t="inlineStr">
        <is>
          <t>منتهي</t>
        </is>
      </c>
      <c r="K18" s="193" t="n">
        <v>-532</v>
      </c>
    </row>
  </sheetData>
  <mergeCells count="1">
    <mergeCell ref="A1:F2"/>
  </mergeCells>
  <pageMargins left="0.7" right="0.7" top="0.75" bottom="0.75" header="0.3" footer="0.3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2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35" customWidth="1" min="3" max="3"/>
    <col width="48" customWidth="1" min="4" max="4"/>
    <col width="48" customWidth="1" min="5" max="5"/>
  </cols>
  <sheetData>
    <row r="1" ht="26" customHeight="1">
      <c r="A1" s="194" t="inlineStr">
        <is>
          <t>التوصيات التطويرية المبنية على نتائج التحليل</t>
        </is>
      </c>
      <c r="B1" s="1" t="n"/>
      <c r="C1" s="1" t="n"/>
      <c r="D1" s="1" t="n"/>
      <c r="E1" s="1" t="n"/>
    </row>
    <row r="2">
      <c r="A2" s="1" t="n"/>
      <c r="B2" s="1" t="n"/>
      <c r="C2" s="1" t="n"/>
      <c r="D2" s="1" t="n"/>
      <c r="E2" s="1" t="n"/>
    </row>
    <row r="4">
      <c r="A4" s="178" t="inlineStr">
        <is>
          <t>#</t>
        </is>
      </c>
      <c r="B4" s="178" t="inlineStr">
        <is>
          <t>الأولوية</t>
        </is>
      </c>
      <c r="C4" s="178" t="inlineStr">
        <is>
          <t>المحور</t>
        </is>
      </c>
      <c r="D4" s="178" t="inlineStr">
        <is>
          <t>الإجراء المقترح</t>
        </is>
      </c>
      <c r="E4" s="178" t="inlineStr">
        <is>
          <t>الأثر المتوقع</t>
        </is>
      </c>
    </row>
    <row r="5">
      <c r="A5" s="195" t="inlineStr">
        <is>
          <t>1</t>
        </is>
      </c>
      <c r="B5" s="179" t="inlineStr">
        <is>
          <t>عاجلة</t>
        </is>
      </c>
      <c r="C5" s="179" t="inlineStr">
        <is>
          <t>تجديد التصنيفات المهنية</t>
        </is>
      </c>
      <c r="D5" s="166" t="inlineStr">
        <is>
          <t>معالجة 10 حالات على رأس العمل بتصنيف مهني منتهي، وبدء تجديد الحالة التي تنتهي خلال 90 يومًا.</t>
        </is>
      </c>
      <c r="E5" s="166" t="inlineStr">
        <is>
          <t>إغلاق مخاطر صلاحية التصنيف قبل أي تخطيط تشغيلي.</t>
        </is>
      </c>
    </row>
    <row r="6">
      <c r="A6" s="196" t="inlineStr">
        <is>
          <t>2</t>
        </is>
      </c>
      <c r="B6" s="183" t="inlineStr">
        <is>
          <t>عاجلة</t>
        </is>
      </c>
      <c r="C6" s="183" t="inlineStr">
        <is>
          <t>استكمال الحالة الوظيفية</t>
        </is>
      </c>
      <c r="D6" s="172" t="inlineStr">
        <is>
          <t>استكمال الحالة لـ 8 موظفين قبل احتساب التوفر الفعلي أو اتخاذ قرارات إعادة توزيع.</t>
        </is>
      </c>
      <c r="E6" s="172" t="inlineStr">
        <is>
          <t>رفع موثوقية مؤشرات التوفر والاحتياج.</t>
        </is>
      </c>
    </row>
    <row r="7">
      <c r="A7" s="195" t="inlineStr">
        <is>
          <t>3</t>
        </is>
      </c>
      <c r="B7" s="179" t="inlineStr">
        <is>
          <t>عاجلة</t>
        </is>
      </c>
      <c r="C7" s="179" t="inlineStr">
        <is>
          <t>مراجعة التعارضات الوظيفية</t>
        </is>
      </c>
      <c r="D7" s="166" t="inlineStr">
        <is>
          <t>مراجعة 8 سجلات يظهر فيها اختلاف جوهري بين المسمى/الفئة وجهة العمل الفعلية.</t>
        </is>
      </c>
      <c r="E7" s="166" t="inlineStr">
        <is>
          <t>تحديد ما إذا كان السبب تكليفًا صحيحًا أو خطأ بيانات أو حاجة لتحديث الملاك/المسمى.</t>
        </is>
      </c>
    </row>
    <row r="8">
      <c r="A8" s="196" t="inlineStr">
        <is>
          <t>4</t>
        </is>
      </c>
      <c r="B8" s="183" t="inlineStr">
        <is>
          <t>عالية</t>
        </is>
      </c>
      <c r="C8" s="183" t="inlineStr">
        <is>
          <t>تصحيح جودة بيانات الرواتب والأداء</t>
        </is>
      </c>
      <c r="D8" s="172" t="inlineStr">
        <is>
          <t>التحقق من راتبين أساسيين بقيمة صفر، وتقييم أداء واحد خارج النطاق في السجل المعتمد.</t>
        </is>
      </c>
      <c r="E8" s="172" t="inlineStr">
        <is>
          <t>منع تشويه التحليل المالي والأداء.</t>
        </is>
      </c>
    </row>
    <row r="9">
      <c r="A9" s="195" t="inlineStr">
        <is>
          <t>5</t>
        </is>
      </c>
      <c r="B9" s="179" t="inlineStr">
        <is>
          <t>عالية</t>
        </is>
      </c>
      <c r="C9" s="179" t="inlineStr">
        <is>
          <t>معالجة التكرارات</t>
        </is>
      </c>
      <c r="D9" s="166" t="inlineStr">
        <is>
          <t>توحيد 3 أرقام وظيفية مكررة في المصدر، مع اعتماد قاعدة فريدة للرقم الوظيفي.</t>
        </is>
      </c>
      <c r="E9" s="166" t="inlineStr">
        <is>
          <t>منع العد المزدوج وتضارب المؤشرات.</t>
        </is>
      </c>
    </row>
    <row r="10">
      <c r="A10" s="196" t="inlineStr">
        <is>
          <t>6</t>
        </is>
      </c>
      <c r="B10" s="183" t="inlineStr">
        <is>
          <t>عالية</t>
        </is>
      </c>
      <c r="C10" s="183" t="inlineStr">
        <is>
          <t>بوابة جودة قبل Power BI</t>
        </is>
      </c>
      <c r="D10" s="172" t="inlineStr">
        <is>
          <t>إنشاء قواعد تحقق آلية للحالة، التواريخ، الراتب، الأداء، والتصنيف قبل التحديث الدوري.</t>
        </is>
      </c>
      <c r="E10" s="172" t="inlineStr">
        <is>
          <t>تحويل التنظيف من تدخل يدوي إلى عملية مستدامة.</t>
        </is>
      </c>
    </row>
    <row r="11">
      <c r="A11" s="195" t="inlineStr">
        <is>
          <t>7</t>
        </is>
      </c>
      <c r="B11" s="179" t="inlineStr">
        <is>
          <t>تطويرية</t>
        </is>
      </c>
      <c r="C11" s="179" t="inlineStr">
        <is>
          <t>استكمال متغيرات التخطيط</t>
        </is>
      </c>
      <c r="D11" s="166" t="inlineStr">
        <is>
          <t>إضافة الملاك المعتمد/Target FTE، حجم الطلب أو عبء العمل، الشواغر، ونسب الإشغال لكل منشأة وتخصص.</t>
        </is>
      </c>
      <c r="E11" s="166" t="inlineStr">
        <is>
          <t>تمكين حساب العجز والفائض ونسبة التغطية بشكل صحيح بدلاً من التخمين.</t>
        </is>
      </c>
    </row>
    <row r="12">
      <c r="A12" s="196" t="inlineStr">
        <is>
          <t>8</t>
        </is>
      </c>
      <c r="B12" s="183" t="inlineStr">
        <is>
          <t>تطويرية</t>
        </is>
      </c>
      <c r="C12" s="183" t="inlineStr">
        <is>
          <t>لوحة متابعة شهرية</t>
        </is>
      </c>
      <c r="D12" s="172" t="inlineStr">
        <is>
          <t>اعتماد لوحة شهرية لمؤشرات التوزيع، الحالات الوظيفية، السعودة، الأداء، التصنيف المهني وجودة البيانات.</t>
        </is>
      </c>
      <c r="E12" s="172" t="inlineStr">
        <is>
          <t>إعطاء الإدارة التنفيذية إنذارًا مبكرًا ومتابعة قابلة للتنفيذ.</t>
        </is>
      </c>
    </row>
  </sheetData>
  <mergeCells count="1">
    <mergeCell ref="A1:E2"/>
  </mergeCells>
  <conditionalFormatting sqref="B5:B12">
    <cfRule type="expression" priority="1" dxfId="0">
      <formula>B5="عاجلة"</formula>
    </cfRule>
    <cfRule type="expression" priority="2" dxfId="6">
      <formula>B5="عالية"</formula>
    </cfRule>
    <cfRule type="expression" priority="3" dxfId="9">
      <formula>B5="تطويرية"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6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50" customWidth="1" min="2" max="2"/>
    <col width="14" customWidth="1" min="3" max="3"/>
    <col width="50" customWidth="1" min="4" max="4"/>
  </cols>
  <sheetData>
    <row r="1" ht="26" customHeight="1">
      <c r="A1" s="194" t="inlineStr">
        <is>
          <t>قاموس المؤشرات ومنهجية الحساب</t>
        </is>
      </c>
      <c r="B1" s="1" t="n"/>
      <c r="C1" s="1" t="n"/>
      <c r="D1" s="1" t="n"/>
    </row>
    <row r="2">
      <c r="A2" s="1" t="n"/>
      <c r="B2" s="1" t="n"/>
      <c r="C2" s="1" t="n"/>
      <c r="D2" s="1" t="n"/>
    </row>
    <row r="4">
      <c r="A4" s="178" t="inlineStr">
        <is>
          <t>المؤشر</t>
        </is>
      </c>
      <c r="B4" s="178" t="inlineStr">
        <is>
          <t>التعريف</t>
        </is>
      </c>
      <c r="C4" s="178" t="inlineStr">
        <is>
          <t>الوحدة</t>
        </is>
      </c>
      <c r="D4" s="178" t="inlineStr">
        <is>
          <t>ملاحظة منهجية</t>
        </is>
      </c>
    </row>
    <row r="5">
      <c r="A5" s="179" t="inlineStr">
        <is>
          <t>إجمالي الموظفين الفريدين</t>
        </is>
      </c>
      <c r="B5" s="166" t="inlineStr">
        <is>
          <t>عدد الأرقام الوظيفية الفريدة بعد إزالة التكرارات</t>
        </is>
      </c>
      <c r="C5" s="179" t="inlineStr">
        <is>
          <t>موظف</t>
        </is>
      </c>
      <c r="D5" s="166" t="inlineStr">
        <is>
          <t>محسوب من السجل المنظف بعد إزالة التكرارات.</t>
        </is>
      </c>
    </row>
    <row r="6">
      <c r="A6" s="183" t="inlineStr">
        <is>
          <t>على رأس العمل</t>
        </is>
      </c>
      <c r="B6" s="172" t="inlineStr">
        <is>
          <t>عدد السجلات التي حالتها الوظيفية = على رأس العمل</t>
        </is>
      </c>
      <c r="C6" s="183" t="inlineStr">
        <is>
          <t>موظف</t>
        </is>
      </c>
      <c r="D6" s="172" t="inlineStr">
        <is>
          <t>محسوب من السجل المنظف بعد إزالة التكرارات.</t>
        </is>
      </c>
    </row>
    <row r="7">
      <c r="A7" s="179" t="inlineStr">
        <is>
          <t>نسبة السعودة الوصفية</t>
        </is>
      </c>
      <c r="B7" s="166" t="inlineStr">
        <is>
          <t>عدد الموظفين السعوديين / إجمالي الموظفين الفريدين</t>
        </is>
      </c>
      <c r="C7" s="179" t="inlineStr">
        <is>
          <t>%</t>
        </is>
      </c>
      <c r="D7" s="166" t="inlineStr">
        <is>
          <t>مؤشر وصفي للملف الحالي وليس نسبة توطين نظامية مستهدفة.</t>
        </is>
      </c>
    </row>
    <row r="8">
      <c r="A8" s="183" t="inlineStr">
        <is>
          <t>متوسط الأداء الصحيح</t>
        </is>
      </c>
      <c r="B8" s="172" t="inlineStr">
        <is>
          <t>متوسط تقييم 2025 بعد استبعاد القيم خارج 0-100</t>
        </is>
      </c>
      <c r="C8" s="183" t="inlineStr">
        <is>
          <t>درجة</t>
        </is>
      </c>
      <c r="D8" s="172" t="inlineStr">
        <is>
          <t>تم استبعاد أي قيمة خارج النطاق 0-100.</t>
        </is>
      </c>
    </row>
    <row r="9">
      <c r="A9" s="179" t="inlineStr">
        <is>
          <t>الرواتب الأساسية للحالات على رأس العمل</t>
        </is>
      </c>
      <c r="B9" s="166" t="inlineStr">
        <is>
          <t>مجموع الراتب الأساسي لمن حالتهم على رأس العمل، وفق البيانات المتاحة</t>
        </is>
      </c>
      <c r="C9" s="179" t="inlineStr">
        <is>
          <t>ر.س/شهر</t>
        </is>
      </c>
      <c r="D9" s="166" t="inlineStr">
        <is>
          <t>لا يمثل التكلفة الكلية ولا يشمل البدلات، مع وجود راتبين صفريين يحتاجان تحقق.</t>
        </is>
      </c>
    </row>
    <row r="10">
      <c r="A10" s="183" t="inlineStr">
        <is>
          <t>التصنيفات المهنية المنتهية</t>
        </is>
      </c>
      <c r="B10" s="172" t="inlineStr">
        <is>
          <t>عدد المسجلين مهنياً بتصنيف انتهى قبل تاريخ التحليل</t>
        </is>
      </c>
      <c r="C10" s="183" t="inlineStr">
        <is>
          <t>حالة</t>
        </is>
      </c>
      <c r="D10" s="172" t="inlineStr">
        <is>
          <t>محسوب بالنسبة لتاريخ التحليل 2026-08-19.</t>
        </is>
      </c>
    </row>
    <row r="11">
      <c r="A11" s="179" t="inlineStr">
        <is>
          <t>التصنيفات المنتهية - على رأس العمل</t>
        </is>
      </c>
      <c r="B11" s="166" t="inlineStr">
        <is>
          <t>من انتهى تصنيفه وحالته على رأس العمل</t>
        </is>
      </c>
      <c r="C11" s="179" t="inlineStr">
        <is>
          <t>حالة</t>
        </is>
      </c>
      <c r="D11" s="166" t="inlineStr">
        <is>
          <t>محسوب بالنسبة لتاريخ التحليل 2026-08-19.</t>
        </is>
      </c>
    </row>
    <row r="12">
      <c r="A12" s="183" t="inlineStr">
        <is>
          <t>ينتهي خلال 90 يوم</t>
        </is>
      </c>
      <c r="B12" s="172" t="inlineStr">
        <is>
          <t>عدد التصنيفات المهنية التي تنتهي خلال 90 يوماً من تاريخ التحليل</t>
        </is>
      </c>
      <c r="C12" s="183" t="inlineStr">
        <is>
          <t>حالة</t>
        </is>
      </c>
      <c r="D12" s="172" t="inlineStr">
        <is>
          <t>محسوب من السجل المنظف بعد إزالة التكرارات.</t>
        </is>
      </c>
    </row>
    <row r="13">
      <c r="A13" s="179" t="inlineStr">
        <is>
          <t>حالة وظيفية مفقودة</t>
        </is>
      </c>
      <c r="B13" s="166" t="inlineStr">
        <is>
          <t>عدد السجلات التي لم تتضمن حالة وظيفية</t>
        </is>
      </c>
      <c r="C13" s="179" t="inlineStr">
        <is>
          <t>سجل</t>
        </is>
      </c>
      <c r="D13" s="166" t="inlineStr">
        <is>
          <t>محسوب من السجل المنظف بعد إزالة التكرارات.</t>
        </is>
      </c>
    </row>
    <row r="14">
      <c r="A14" s="183" t="inlineStr">
        <is>
          <t>تعارض وظيفي محتمل</t>
        </is>
      </c>
      <c r="B14" s="172" t="inlineStr">
        <is>
          <t>عدد السجلات التي يظهر فيها تعارض واضح بين المسمى/الفئة والعمل الفعلي</t>
        </is>
      </c>
      <c r="C14" s="183" t="inlineStr">
        <is>
          <t>سجل</t>
        </is>
      </c>
      <c r="D14" s="172" t="inlineStr">
        <is>
          <t>إشارة تحليلية للمراجعة وليست حكمًا نهائيًا على صحة التكليف.</t>
        </is>
      </c>
    </row>
    <row r="15">
      <c r="A15" s="179" t="inlineStr">
        <is>
          <t>رواتب أساسية صفرية</t>
        </is>
      </c>
      <c r="B15" s="166" t="inlineStr">
        <is>
          <t>عدد السجلات ذات الراتب الأساسي = 0</t>
        </is>
      </c>
      <c r="C15" s="179" t="inlineStr">
        <is>
          <t>سجل</t>
        </is>
      </c>
      <c r="D15" s="166" t="inlineStr">
        <is>
          <t>محسوب من السجل المنظف بعد إزالة التكرارات.</t>
        </is>
      </c>
    </row>
    <row r="16">
      <c r="A16" s="183" t="inlineStr">
        <is>
          <t>تقييم أداء غير صالح</t>
        </is>
      </c>
      <c r="B16" s="172" t="inlineStr">
        <is>
          <t>عدد الموظفين الذين لا يمكن اعتماد تقييم أدائهم بعد التنظيف</t>
        </is>
      </c>
      <c r="C16" s="183" t="inlineStr">
        <is>
          <t>سجل</t>
        </is>
      </c>
      <c r="D16" s="172" t="inlineStr">
        <is>
          <t>محسوب من السجل المنظف بعد إزالة التكرارات.</t>
        </is>
      </c>
    </row>
  </sheetData>
  <mergeCells count="1">
    <mergeCell ref="A1:D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2026-08-19T05:50:31Z</dcterms:created>
  <dcterms:modified xsi:type="dcterms:W3CDTF">2026-08-19T05:52:06Z</dcterms:modified>
</cp:coreProperties>
</file>