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3.xml" ContentType="application/vnd.openxmlformats-officedocument.spreadsheetml.table+xml"/>
  <Override PartName="/xl/tables/table6.xml" ContentType="application/vnd.openxmlformats-officedocument.spreadsheetml.table+xml"/>
  <Override PartName="/xl/tables/table4.xml" ContentType="application/vnd.openxmlformats-officedocument.spreadsheetml.table+xml"/>
  <Override PartName="/xl/tables/table1.xml" ContentType="application/vnd.openxmlformats-officedocument.spreadsheetml.table+xml"/>
  <Override PartName="/xl/tables/table8.xml" ContentType="application/vnd.openxmlformats-officedocument.spreadsheetml.table+xml"/>
  <Override PartName="/xl/tables/table2.xml" ContentType="application/vnd.openxmlformats-officedocument.spreadsheetml.table+xml"/>
  <Override PartName="/xl/tables/table7.xml" ContentType="application/vnd.openxmlformats-officedocument.spreadsheetml.table+xml"/>
  <Override PartName="/xl/tables/table5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الملخص_التنفيذي" sheetId="1" state="visible" r:id="rId3"/>
    <sheet name="البيانات_المنظفة" sheetId="2" state="visible" r:id="rId4"/>
    <sheet name="البيانات_الأصلية" sheetId="3" state="visible" r:id="rId5"/>
    <sheet name="سجل_الجودة" sheetId="4" state="visible" r:id="rId6"/>
    <sheet name="تحليل_المنشآت" sheetId="5" state="visible" r:id="rId7"/>
    <sheet name="تحليل_الفئات" sheetId="6" state="visible" r:id="rId8"/>
    <sheet name="الحالة_والعقود" sheetId="7" state="visible" r:id="rId9"/>
    <sheet name="مخاطر_التصنيف" sheetId="8" state="visible" r:id="rId10"/>
    <sheet name="التوصيات" sheetId="9" state="visible" r:id="rId11"/>
    <sheet name="قاموس_المؤشرات" sheetId="10" state="visible" r:id="rId12"/>
  </sheet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<sst xmlns="http://schemas.openxmlformats.org/spreadsheetml/2006/main" count="2386" uniqueCount="504">
  <si>
    <t xml:space="preserve">لوحة تخطيط القوى العاملة - الملخص التنفيذي</t>
  </si>
  <si>
    <t xml:space="preserve">تحليل بيانات الموارد البشرية | تاريخ التحليل: 2026-08-19 | المصدر: ملف المرشح المرفق</t>
  </si>
  <si>
    <t xml:space="preserve">إجمالي الموظفين</t>
  </si>
  <si>
    <t xml:space="preserve">على رأس العمل</t>
  </si>
  <si>
    <t xml:space="preserve">نسبة السعودة الوصفية</t>
  </si>
  <si>
    <t xml:space="preserve">متوسط الأداء الصحيح</t>
  </si>
  <si>
    <t xml:space="preserve">رواتب الحالات على رأس العمل</t>
  </si>
  <si>
    <t xml:space="preserve">تصنيف منتهي - على رأس العمل</t>
  </si>
  <si>
    <t xml:space="preserve">حالة وظيفية مفقودة</t>
  </si>
  <si>
    <t xml:space="preserve">تعارض وظيفي محتمل</t>
  </si>
  <si>
    <t xml:space="preserve">تصنيف ينتهي خلال 90 يوم</t>
  </si>
  <si>
    <t xml:space="preserve">رواتب أساسية صفرية</t>
  </si>
  <si>
    <t xml:space="preserve">سجلات مصدر مكررة</t>
  </si>
  <si>
    <t xml:space="preserve">تصنيفات منتهية - جميع الحالات</t>
  </si>
  <si>
    <t xml:space="preserve">قرار تحليلي مهم</t>
  </si>
  <si>
    <t xml:space="preserve">لا يمكن حساب العجز أو الفائض أو نسبة التغطية بصورة مهنية من الملف الحالي؛ لأنه لا يتضمن الملاك المعتمد / Target FTE أو حجم الطلب وعبء العمل. لذلك تم فصل المؤشرات المؤكدة عن المؤشرات التي تتطلب بيانات إضافية، دون اختلاق افتراضات.</t>
  </si>
  <si>
    <t xml:space="preserve">أبرز النتائج التنفيذية</t>
  </si>
  <si>
    <t xml:space="preserve">أولويات القرار</t>
  </si>
  <si>
    <t xml:space="preserve">1</t>
  </si>
  <si>
    <t xml:space="preserve">المصدر يحتوي 53 صفًا مقابل 50 موظفًا فريدًا؛ 3 أرقام وظيفية مكررة.</t>
  </si>
  <si>
    <t xml:space="preserve">عاجل</t>
  </si>
  <si>
    <t xml:space="preserve">التصنيفات المهنية</t>
  </si>
  <si>
    <t xml:space="preserve">إغلاق 10 حالات منتهية على رأس العمل وبدء تجديد الحالة القريبة.</t>
  </si>
  <si>
    <t xml:space="preserve">2</t>
  </si>
  <si>
    <t xml:space="preserve">36 موظفًا فقط مسجلون صراحةً على رأس العمل، بينما 8 حالات وظيفية غير مكتملة.</t>
  </si>
  <si>
    <t xml:space="preserve">الحالة الوظيفية</t>
  </si>
  <si>
    <t xml:space="preserve">استكمال 8 حالات مفقودة قبل احتساب التوفر.</t>
  </si>
  <si>
    <t xml:space="preserve">3</t>
  </si>
  <si>
    <t xml:space="preserve">13 تصنيفًا مهنيًا منتهيًا، منها 10 لموظفين على رأس العمل، وحالة واحدة تنتهي خلال 90 يومًا.</t>
  </si>
  <si>
    <t xml:space="preserve">المواءمة الوظيفية</t>
  </si>
  <si>
    <t xml:space="preserve">مراجعة 8 تعارضات بين المسمى والعمل الفعلي.</t>
  </si>
  <si>
    <t xml:space="preserve">4</t>
  </si>
  <si>
    <t xml:space="preserve">توجد 8 حالات تعارض واضحة تستوجب المراجعة بين المسمى/الفئة وجهة العمل الفعلية.</t>
  </si>
  <si>
    <t xml:space="preserve">تطويري</t>
  </si>
  <si>
    <t xml:space="preserve">بيانات التخطيط</t>
  </si>
  <si>
    <t xml:space="preserve">إضافة Target FTE وعبء العمل والشواغر لحساب العجز والفائض.</t>
  </si>
  <si>
    <t xml:space="preserve">5</t>
  </si>
  <si>
    <t xml:space="preserve">قيمة تقييم أداء واحدة غير صالحة في السجل المعتمد، وراتبان أساسيان بقيمة صفر.</t>
  </si>
  <si>
    <t xml:space="preserve">6</t>
  </si>
  <si>
    <t xml:space="preserve">متوسط الأداء بعد استبعاد القيم غير الصالحة = 85.2/100، ونسبة السعودة الوصفية = 58.0%.</t>
  </si>
  <si>
    <t xml:space="preserve">الرقم_الوظيفي</t>
  </si>
  <si>
    <t xml:space="preserve">اسم_الموظف</t>
  </si>
  <si>
    <t xml:space="preserve">الجنس</t>
  </si>
  <si>
    <t xml:space="preserve">الجنسية</t>
  </si>
  <si>
    <t xml:space="preserve">تاريخ_الميلاد</t>
  </si>
  <si>
    <t xml:space="preserve">العمر</t>
  </si>
  <si>
    <t xml:space="preserve">تاريخ_التعيين</t>
  </si>
  <si>
    <t xml:space="preserve">سنوات_الخدمة</t>
  </si>
  <si>
    <t xml:space="preserve">المنشأة</t>
  </si>
  <si>
    <t xml:space="preserve">نوع_المنشأة</t>
  </si>
  <si>
    <t xml:space="preserve">الإدارة_التنفيذية</t>
  </si>
  <si>
    <t xml:space="preserve">الفئة_الوظيفية</t>
  </si>
  <si>
    <t xml:space="preserve">المسمى_الوظيفي</t>
  </si>
  <si>
    <t xml:space="preserve">التصنيف</t>
  </si>
  <si>
    <t xml:space="preserve">نوع_التعاقد</t>
  </si>
  <si>
    <t xml:space="preserve">الحالة_الوظيفية</t>
  </si>
  <si>
    <t xml:space="preserve">الراتب_الأساسي</t>
  </si>
  <si>
    <t xml:space="preserve">تقييم_الأداء_2025</t>
  </si>
  <si>
    <t xml:space="preserve">تقييم_الأداء_المصدر</t>
  </si>
  <si>
    <t xml:space="preserve">تقييم_صالح</t>
  </si>
  <si>
    <t xml:space="preserve">المؤهل_العلمي</t>
  </si>
  <si>
    <t xml:space="preserve">مسجل_في_التصنيف_المهني</t>
  </si>
  <si>
    <t xml:space="preserve">تاريخ_انتهاء_التصنيف</t>
  </si>
  <si>
    <t xml:space="preserve">حالة_التصنيف</t>
  </si>
  <si>
    <t xml:space="preserve">الأيام_حتى_انتهاء_التصنيف</t>
  </si>
  <si>
    <t xml:space="preserve">جهة_العمل_الفعلية</t>
  </si>
  <si>
    <t xml:space="preserve">تعارض_الدور</t>
  </si>
  <si>
    <t xml:space="preserve">ملخص_مشكلات_الجودة</t>
  </si>
  <si>
    <t xml:space="preserve">عدد_مشكلات_الجودة</t>
  </si>
  <si>
    <t xml:space="preserve">عدد_سجلات_المصدر</t>
  </si>
  <si>
    <t xml:space="preserve">صف_المصدر_المعتمد</t>
  </si>
  <si>
    <t xml:space="preserve">Anita Sharma</t>
  </si>
  <si>
    <t xml:space="preserve">أنثى</t>
  </si>
  <si>
    <t xml:space="preserve">الهند</t>
  </si>
  <si>
    <t xml:space="preserve">مستشفى الملك فهد التخصصي بتبوك</t>
  </si>
  <si>
    <t xml:space="preserve">مستشفى مرجعي</t>
  </si>
  <si>
    <t xml:space="preserve">الإدارة التنفيذية للمستشفيات</t>
  </si>
  <si>
    <t xml:space="preserve">أطباء</t>
  </si>
  <si>
    <t xml:space="preserve">أخصائي طب أسرة</t>
  </si>
  <si>
    <t xml:space="preserve">أخصائي</t>
  </si>
  <si>
    <t xml:space="preserve">رسمي (بند الوظائف)</t>
  </si>
  <si>
    <t xml:space="preserve">نعم</t>
  </si>
  <si>
    <t xml:space="preserve">بكالوريوس</t>
  </si>
  <si>
    <t xml:space="preserve">منتهي</t>
  </si>
  <si>
    <t xml:space="preserve">لا توجد إشارة واضحة</t>
  </si>
  <si>
    <t xml:space="preserve">لا توجد ملاحظة جودة مباشرة</t>
  </si>
  <si>
    <t xml:space="preserve">Fatima Noor</t>
  </si>
  <si>
    <t xml:space="preserve">باكستان</t>
  </si>
  <si>
    <t xml:space="preserve">مستشفى الملك خالد المدني</t>
  </si>
  <si>
    <t xml:space="preserve">مستشفى عام</t>
  </si>
  <si>
    <t xml:space="preserve">تمريض</t>
  </si>
  <si>
    <t xml:space="preserve">أخصائي تمريض</t>
  </si>
  <si>
    <t xml:space="preserve">دبلوم</t>
  </si>
  <si>
    <t xml:space="preserve">ساري لأكثر من 90 يوم</t>
  </si>
  <si>
    <t xml:space="preserve">أخصائي تمريض - أقسام داخلية</t>
  </si>
  <si>
    <t xml:space="preserve">Rajesh Kumar</t>
  </si>
  <si>
    <t xml:space="preserve">ذكر</t>
  </si>
  <si>
    <t xml:space="preserve">الخدمات المساندة</t>
  </si>
  <si>
    <t xml:space="preserve">فني صيانة</t>
  </si>
  <si>
    <t xml:space="preserve">مساند</t>
  </si>
  <si>
    <t xml:space="preserve">تشغيل ذاتي</t>
  </si>
  <si>
    <t xml:space="preserve">لا ينطبق</t>
  </si>
  <si>
    <t xml:space="preserve">فني صيانة - الأجهزة الطبية</t>
  </si>
  <si>
    <t xml:space="preserve">Joseph Cruz</t>
  </si>
  <si>
    <t xml:space="preserve">الفلبين</t>
  </si>
  <si>
    <t xml:space="preserve">مشرف تمريض</t>
  </si>
  <si>
    <t xml:space="preserve">عقود تشغيل</t>
  </si>
  <si>
    <t xml:space="preserve">أحمد الزهراني</t>
  </si>
  <si>
    <t xml:space="preserve">سعودي</t>
  </si>
  <si>
    <t xml:space="preserve">موقوف عن العمل</t>
  </si>
  <si>
    <t xml:space="preserve">لا</t>
  </si>
  <si>
    <t xml:space="preserve">غير مسجل</t>
  </si>
  <si>
    <t xml:space="preserve">حالة تسجيل مهني تحتاج تحقق</t>
  </si>
  <si>
    <t xml:space="preserve">لمى البلوي</t>
  </si>
  <si>
    <t xml:space="preserve">فني تمريض عمليات</t>
  </si>
  <si>
    <t xml:space="preserve">فني تمريض</t>
  </si>
  <si>
    <t xml:space="preserve">ماجستير</t>
  </si>
  <si>
    <t xml:space="preserve">فني تمريض - غرف العمليات</t>
  </si>
  <si>
    <t xml:space="preserve">نورة الصاعدي</t>
  </si>
  <si>
    <t xml:space="preserve">الخدمات المعاونة</t>
  </si>
  <si>
    <t xml:space="preserve">أمين مستودع</t>
  </si>
  <si>
    <t xml:space="preserve">عمر البلوي</t>
  </si>
  <si>
    <t xml:space="preserve">الصحة المساعدة</t>
  </si>
  <si>
    <t xml:space="preserve">فني مختبر</t>
  </si>
  <si>
    <t xml:space="preserve">فني</t>
  </si>
  <si>
    <t xml:space="preserve">أروى الزهراني</t>
  </si>
  <si>
    <t xml:space="preserve">أخصائي أشعة</t>
  </si>
  <si>
    <t xml:space="preserve">غير محدد</t>
  </si>
  <si>
    <t xml:space="preserve">أخصائي أشعة - التصوير المقطعي</t>
  </si>
  <si>
    <t xml:space="preserve">شهد الشمري</t>
  </si>
  <si>
    <t xml:space="preserve">راتب صفري</t>
  </si>
  <si>
    <t xml:space="preserve">فني صيدلة</t>
  </si>
  <si>
    <t xml:space="preserve">نورة الغامدي</t>
  </si>
  <si>
    <t xml:space="preserve">مركز صحي المروج</t>
  </si>
  <si>
    <t xml:space="preserve">مركز رعاية أولية</t>
  </si>
  <si>
    <t xml:space="preserve">الإدارة التنفيذية للرعاية الصحية الأولية</t>
  </si>
  <si>
    <t xml:space="preserve">فني تمريض - رعاية أولية</t>
  </si>
  <si>
    <t xml:space="preserve">مستشفى ضباء العام</t>
  </si>
  <si>
    <t xml:space="preserve">سائق إسعاف</t>
  </si>
  <si>
    <t xml:space="preserve">طبيب أسنان - عيادات الأسنان</t>
  </si>
  <si>
    <t xml:space="preserve">يحتاج مراجعة</t>
  </si>
  <si>
    <t xml:space="preserve">محمد الحويطي</t>
  </si>
  <si>
    <t xml:space="preserve">ناصر الصاعدي</t>
  </si>
  <si>
    <t xml:space="preserve">طبيب مقيم</t>
  </si>
  <si>
    <t xml:space="preserve">تقييم أداء غير صالح | تعارض وظيفي محتمل</t>
  </si>
  <si>
    <t xml:space="preserve">سعود الزهراني</t>
  </si>
  <si>
    <t xml:space="preserve">أخصائي باطنة</t>
  </si>
  <si>
    <t xml:space="preserve">بند الأجور</t>
  </si>
  <si>
    <t xml:space="preserve">منتهي الخدمة</t>
  </si>
  <si>
    <t xml:space="preserve">يزيد العطوي</t>
  </si>
  <si>
    <t xml:space="preserve">مدير تقنية المعلومات</t>
  </si>
  <si>
    <t xml:space="preserve">حالة وظيفية مفقودة | تعارض وظيفي محتمل</t>
  </si>
  <si>
    <t xml:space="preserve">Layla Mansour</t>
  </si>
  <si>
    <t xml:space="preserve">سوريا</t>
  </si>
  <si>
    <t xml:space="preserve">Ahmed Fathy</t>
  </si>
  <si>
    <t xml:space="preserve">مصر</t>
  </si>
  <si>
    <t xml:space="preserve">أخصائي تمريض عناية مركزة</t>
  </si>
  <si>
    <t xml:space="preserve">أخصائي تمريض - العناية المركزة</t>
  </si>
  <si>
    <t xml:space="preserve">عمر الزهراني</t>
  </si>
  <si>
    <t xml:space="preserve">الإدارية</t>
  </si>
  <si>
    <t xml:space="preserve">أخصائي جودة</t>
  </si>
  <si>
    <t xml:space="preserve">إداري</t>
  </si>
  <si>
    <t xml:space="preserve">فني تمريض - أقسام داخلية</t>
  </si>
  <si>
    <t xml:space="preserve">محمد القحطاني</t>
  </si>
  <si>
    <t xml:space="preserve">طبيب عام</t>
  </si>
  <si>
    <t xml:space="preserve">طبيب عام - عيادات خارجية</t>
  </si>
  <si>
    <t xml:space="preserve">غادة القحطاني</t>
  </si>
  <si>
    <t xml:space="preserve">طبيب مقيم - طوارئ</t>
  </si>
  <si>
    <t xml:space="preserve">Hassan Ali</t>
  </si>
  <si>
    <t xml:space="preserve">السودان</t>
  </si>
  <si>
    <t xml:space="preserve">ينتهي خلال 90 يوم</t>
  </si>
  <si>
    <t xml:space="preserve">تاريخ ميلاد/تعيين غير منطقي</t>
  </si>
  <si>
    <t xml:space="preserve">دانة الحويطي</t>
  </si>
  <si>
    <t xml:space="preserve">أخصائي موارد بشرية</t>
  </si>
  <si>
    <t xml:space="preserve">ناصر الحويطي</t>
  </si>
  <si>
    <t xml:space="preserve">أروى المطيري</t>
  </si>
  <si>
    <t xml:space="preserve">دانة الحربي</t>
  </si>
  <si>
    <t xml:space="preserve">أخصائي أشعة - الرنين المغناطيسي</t>
  </si>
  <si>
    <t xml:space="preserve">مشعل الحويطي</t>
  </si>
  <si>
    <t xml:space="preserve">استشاري نساء وولادة</t>
  </si>
  <si>
    <t xml:space="preserve">استشاري</t>
  </si>
  <si>
    <t xml:space="preserve">Maria Santos</t>
  </si>
  <si>
    <t xml:space="preserve">عبدالله البلوي</t>
  </si>
  <si>
    <t xml:space="preserve">أخصائي علاج طبيعي</t>
  </si>
  <si>
    <t xml:space="preserve">ماجد القحطاني</t>
  </si>
  <si>
    <t xml:space="preserve">أخصائي صيدلة</t>
  </si>
  <si>
    <t xml:space="preserve">تاريخ ميلاد يحتاج تحقق</t>
  </si>
  <si>
    <t xml:space="preserve">بندر العنزي</t>
  </si>
  <si>
    <t xml:space="preserve">عبدالله الجهني</t>
  </si>
  <si>
    <t xml:space="preserve">مدير الشؤون المالية</t>
  </si>
  <si>
    <t xml:space="preserve">راتب صفري | تعارض وظيفي محتمل</t>
  </si>
  <si>
    <t xml:space="preserve">طبيب مقيم - باطنة</t>
  </si>
  <si>
    <t xml:space="preserve">مها القحطاني</t>
  </si>
  <si>
    <t xml:space="preserve">إجازة اضطرارية طويلة</t>
  </si>
  <si>
    <t xml:space="preserve">تكرار الرقم الوظيفي</t>
  </si>
  <si>
    <t xml:space="preserve">عبدالله الحويطي</t>
  </si>
  <si>
    <t xml:space="preserve">يزيد الشمري</t>
  </si>
  <si>
    <t xml:space="preserve">ناصر الحربي</t>
  </si>
  <si>
    <t xml:space="preserve">ثانوية عامة</t>
  </si>
  <si>
    <t xml:space="preserve">مدير إدارة الموارد البشرية</t>
  </si>
  <si>
    <t xml:space="preserve">استشاري جراحة عامة</t>
  </si>
  <si>
    <t xml:space="preserve">ريم الصاعدي</t>
  </si>
  <si>
    <t xml:space="preserve">طبيب عام - رعاية أولية</t>
  </si>
  <si>
    <t xml:space="preserve">جهة العمل الفعلية</t>
  </si>
  <si>
    <t xml:space="preserve">1983/08/17</t>
  </si>
  <si>
    <t xml:space="preserve">2019-07-12</t>
  </si>
  <si>
    <t xml:space="preserve">2026-02-08</t>
  </si>
  <si>
    <t xml:space="preserve">03/11/1977</t>
  </si>
  <si>
    <t xml:space="preserve">2020/08/24</t>
  </si>
  <si>
    <t xml:space="preserve">سعودية</t>
  </si>
  <si>
    <t xml:space="preserve">1999-07-23</t>
  </si>
  <si>
    <t xml:space="preserve">2025-10-01</t>
  </si>
  <si>
    <t xml:space="preserve">2027-09-11</t>
  </si>
  <si>
    <t xml:space="preserve">1975/02/06</t>
  </si>
  <si>
    <t xml:space="preserve">2006/04/29</t>
  </si>
  <si>
    <t xml:space="preserve">2028-06-17</t>
  </si>
  <si>
    <t xml:space="preserve">1999-12-09</t>
  </si>
  <si>
    <t xml:space="preserve">2025-03-14</t>
  </si>
  <si>
    <t xml:space="preserve">22/05/1994</t>
  </si>
  <si>
    <t xml:space="preserve">2020-06-26</t>
  </si>
  <si>
    <t xml:space="preserve">مستشفى الملك فهد التخصصي</t>
  </si>
  <si>
    <t xml:space="preserve">أطباء </t>
  </si>
  <si>
    <t xml:space="preserve">1969-07-19</t>
  </si>
  <si>
    <t xml:space="preserve">2021-09-07</t>
  </si>
  <si>
    <t xml:space="preserve">2011-03-04</t>
  </si>
  <si>
    <t xml:space="preserve">12/01/2014</t>
  </si>
  <si>
    <t xml:space="preserve">10/09/2026</t>
  </si>
  <si>
    <t xml:space="preserve">1983/04/29</t>
  </si>
  <si>
    <t xml:space="preserve">2023/07/13</t>
  </si>
  <si>
    <t xml:space="preserve">2027-01-25</t>
  </si>
  <si>
    <t xml:space="preserve">انثى</t>
  </si>
  <si>
    <t xml:space="preserve">1968/03/25</t>
  </si>
  <si>
    <t xml:space="preserve">14/02/2012</t>
  </si>
  <si>
    <t xml:space="preserve">11/08/2026</t>
  </si>
  <si>
    <t xml:space="preserve">1969-01-26</t>
  </si>
  <si>
    <t xml:space="preserve">1996/07/13</t>
  </si>
  <si>
    <t xml:space="preserve">20/06/2026</t>
  </si>
  <si>
    <t xml:space="preserve">Male</t>
  </si>
  <si>
    <t xml:space="preserve">1977-12-26</t>
  </si>
  <si>
    <t xml:space="preserve">2024/05/03</t>
  </si>
  <si>
    <t xml:space="preserve">12/02/2028</t>
  </si>
  <si>
    <t xml:space="preserve">ذ</t>
  </si>
  <si>
    <t xml:space="preserve">24/09/1999</t>
  </si>
  <si>
    <t xml:space="preserve">2024/06/01</t>
  </si>
  <si>
    <t xml:space="preserve">09/07/2026</t>
  </si>
  <si>
    <t xml:space="preserve">1999-01-06</t>
  </si>
  <si>
    <t xml:space="preserve">2024-08-05</t>
  </si>
  <si>
    <t xml:space="preserve">9,900</t>
  </si>
  <si>
    <t xml:space="preserve">28/12/2028</t>
  </si>
  <si>
    <t xml:space="preserve">1997/10/20</t>
  </si>
  <si>
    <t xml:space="preserve">2024/01/06</t>
  </si>
  <si>
    <t xml:space="preserve">18/03/2027</t>
  </si>
  <si>
    <t xml:space="preserve">1994-04-28</t>
  </si>
  <si>
    <t xml:space="preserve">2025-10-16</t>
  </si>
  <si>
    <t xml:space="preserve">2028-10-16</t>
  </si>
  <si>
    <t xml:space="preserve">1994/04/28</t>
  </si>
  <si>
    <t xml:space="preserve">2025/10/16</t>
  </si>
  <si>
    <t xml:space="preserve">16/10/2028</t>
  </si>
  <si>
    <t xml:space="preserve">1990-12-15</t>
  </si>
  <si>
    <t xml:space="preserve">2022-07-31</t>
  </si>
  <si>
    <t xml:space="preserve">24/06/2026</t>
  </si>
  <si>
    <t xml:space="preserve">SAU</t>
  </si>
  <si>
    <t xml:space="preserve">23/07/1999</t>
  </si>
  <si>
    <t xml:space="preserve">2025/10/01</t>
  </si>
  <si>
    <t xml:space="preserve">10,850</t>
  </si>
  <si>
    <t xml:space="preserve">1985-12-25</t>
  </si>
  <si>
    <t xml:space="preserve">2020-12-03</t>
  </si>
  <si>
    <t xml:space="preserve">06/07/1991</t>
  </si>
  <si>
    <t xml:space="preserve">2019-08-13</t>
  </si>
  <si>
    <t xml:space="preserve">1993-12-17</t>
  </si>
  <si>
    <t xml:space="preserve">2018/02/03</t>
  </si>
  <si>
    <t xml:space="preserve">2026-08-16</t>
  </si>
  <si>
    <t xml:space="preserve">1983/04/14</t>
  </si>
  <si>
    <t xml:space="preserve">2007-03-28</t>
  </si>
  <si>
    <t xml:space="preserve">04/07/2028</t>
  </si>
  <si>
    <t xml:space="preserve">1989/02/07</t>
  </si>
  <si>
    <t xml:space="preserve">2016-08-18</t>
  </si>
  <si>
    <t xml:space="preserve">2027-06-05</t>
  </si>
  <si>
    <t xml:space="preserve">2000-09-06</t>
  </si>
  <si>
    <t xml:space="preserve">2025/12/08</t>
  </si>
  <si>
    <t xml:space="preserve">2026-05-06</t>
  </si>
  <si>
    <t xml:space="preserve">1998-03-04</t>
  </si>
  <si>
    <t xml:space="preserve">30/05/2022</t>
  </si>
  <si>
    <t xml:space="preserve">مستشفى ضباء</t>
  </si>
  <si>
    <t xml:space="preserve">الصحة المساعدة </t>
  </si>
  <si>
    <t xml:space="preserve">01/08/2025</t>
  </si>
  <si>
    <t xml:space="preserve">02/03/1993</t>
  </si>
  <si>
    <t xml:space="preserve">2025/12/24</t>
  </si>
  <si>
    <t xml:space="preserve">14/02/2026</t>
  </si>
  <si>
    <t xml:space="preserve">09/09/1993</t>
  </si>
  <si>
    <t xml:space="preserve">2017-01-10</t>
  </si>
  <si>
    <t xml:space="preserve">2027-01-31</t>
  </si>
  <si>
    <t xml:space="preserve">10/11/1998</t>
  </si>
  <si>
    <t xml:space="preserve">2022-07-19</t>
  </si>
  <si>
    <t xml:space="preserve">1995-03-11</t>
  </si>
  <si>
    <t xml:space="preserve">2019-01-29</t>
  </si>
  <si>
    <t xml:space="preserve">مستشفى الملك فهد التخصصي </t>
  </si>
  <si>
    <t xml:space="preserve">تمريض </t>
  </si>
  <si>
    <t xml:space="preserve">28/11/2027</t>
  </si>
  <si>
    <t xml:space="preserve">1973/06/07</t>
  </si>
  <si>
    <t xml:space="preserve">2014/12/08</t>
  </si>
  <si>
    <t xml:space="preserve">13,600</t>
  </si>
  <si>
    <t xml:space="preserve">26/08/2027</t>
  </si>
  <si>
    <t xml:space="preserve">1996/08/01</t>
  </si>
  <si>
    <t xml:space="preserve">2022-01-21</t>
  </si>
  <si>
    <t xml:space="preserve">2028-03-30</t>
  </si>
  <si>
    <t xml:space="preserve">1994/12/26</t>
  </si>
  <si>
    <t xml:space="preserve">2023/07/27</t>
  </si>
  <si>
    <t xml:space="preserve">الملك فهد التخصصي</t>
  </si>
  <si>
    <t xml:space="preserve">31/07/2027</t>
  </si>
  <si>
    <t xml:space="preserve">1996-08-01</t>
  </si>
  <si>
    <t xml:space="preserve">1983-12-10</t>
  </si>
  <si>
    <t xml:space="preserve">2020-05-30</t>
  </si>
  <si>
    <t xml:space="preserve">05/03/2025</t>
  </si>
  <si>
    <t xml:space="preserve">1966-09-02</t>
  </si>
  <si>
    <t xml:space="preserve">2011-01-27</t>
  </si>
  <si>
    <t xml:space="preserve">2025-01-31</t>
  </si>
  <si>
    <t xml:space="preserve">1993-10-05</t>
  </si>
  <si>
    <t xml:space="preserve">2022-03-11</t>
  </si>
  <si>
    <t xml:space="preserve">20/06/2028</t>
  </si>
  <si>
    <t xml:space="preserve">18/12/1979</t>
  </si>
  <si>
    <t xml:space="preserve">2022-12-17</t>
  </si>
  <si>
    <t xml:space="preserve">2027-03-19</t>
  </si>
  <si>
    <t xml:space="preserve">1980-04-29</t>
  </si>
  <si>
    <t xml:space="preserve">2004-06-28</t>
  </si>
  <si>
    <t xml:space="preserve">1980-02-16</t>
  </si>
  <si>
    <t xml:space="preserve">2024-04-11</t>
  </si>
  <si>
    <t xml:space="preserve">30/04/2028</t>
  </si>
  <si>
    <t xml:space="preserve">1987-09-27</t>
  </si>
  <si>
    <t xml:space="preserve">2020-02-24</t>
  </si>
  <si>
    <t xml:space="preserve">1998-06-04</t>
  </si>
  <si>
    <t xml:space="preserve">2024-06-01</t>
  </si>
  <si>
    <t xml:space="preserve">8,650</t>
  </si>
  <si>
    <t xml:space="preserve">12/09/2025</t>
  </si>
  <si>
    <t xml:space="preserve">05/12/1978</t>
  </si>
  <si>
    <t xml:space="preserve">2021/05/07</t>
  </si>
  <si>
    <t xml:space="preserve">1996-07-18</t>
  </si>
  <si>
    <t xml:space="preserve">06/03/2023</t>
  </si>
  <si>
    <t xml:space="preserve">14,300</t>
  </si>
  <si>
    <t xml:space="preserve">1974-01-09</t>
  </si>
  <si>
    <t xml:space="preserve">2010-05-06</t>
  </si>
  <si>
    <t xml:space="preserve">20/11/2027</t>
  </si>
  <si>
    <t xml:space="preserve">2000/10/05</t>
  </si>
  <si>
    <t xml:space="preserve">2024-02-16</t>
  </si>
  <si>
    <t xml:space="preserve">1938-07-19</t>
  </si>
  <si>
    <t xml:space="preserve">2020-04-02</t>
  </si>
  <si>
    <t xml:space="preserve">2028-07-26</t>
  </si>
  <si>
    <t xml:space="preserve">1978/10/04</t>
  </si>
  <si>
    <t xml:space="preserve">2003-02-21</t>
  </si>
  <si>
    <t xml:space="preserve">مستشفى ضباء العام </t>
  </si>
  <si>
    <t xml:space="preserve">1977-08-07</t>
  </si>
  <si>
    <t xml:space="preserve">2008-07-01</t>
  </si>
  <si>
    <t xml:space="preserve">4,650</t>
  </si>
  <si>
    <t xml:space="preserve">Female</t>
  </si>
  <si>
    <t xml:space="preserve">1971/01/03</t>
  </si>
  <si>
    <t xml:space="preserve">2017/10/17</t>
  </si>
  <si>
    <t xml:space="preserve">4,000</t>
  </si>
  <si>
    <t xml:space="preserve">1984-07-20</t>
  </si>
  <si>
    <t xml:space="preserve">2014-08-22</t>
  </si>
  <si>
    <t xml:space="preserve">2026-04-05</t>
  </si>
  <si>
    <t xml:space="preserve">1997-09-08</t>
  </si>
  <si>
    <t xml:space="preserve">2021-10-27</t>
  </si>
  <si>
    <t xml:space="preserve">2028-09-24</t>
  </si>
  <si>
    <t xml:space="preserve">1990-06-03</t>
  </si>
  <si>
    <t xml:space="preserve">2015/12/14</t>
  </si>
  <si>
    <t xml:space="preserve">24/05/2027</t>
  </si>
  <si>
    <t xml:space="preserve">المحور</t>
  </si>
  <si>
    <t xml:space="preserve">الأولوية</t>
  </si>
  <si>
    <t xml:space="preserve">نوع_الملاحظة</t>
  </si>
  <si>
    <t xml:space="preserve">التفاصيل</t>
  </si>
  <si>
    <t xml:space="preserve">الإجراء_المقترح</t>
  </si>
  <si>
    <t xml:space="preserve">مخاطر التصنيف المهني</t>
  </si>
  <si>
    <t xml:space="preserve">حرج</t>
  </si>
  <si>
    <t xml:space="preserve">تصنيف مهني منتهي</t>
  </si>
  <si>
    <t xml:space="preserve">تاريخ الانتهاء 2026-05-06؛ الحالة الوظيفية: على رأس العمل.</t>
  </si>
  <si>
    <t xml:space="preserve">التحقق من التجديد فوراً، مع أولوية الحالات على رأس العمل.</t>
  </si>
  <si>
    <t xml:space="preserve">امتثال/بيانات</t>
  </si>
  <si>
    <t xml:space="preserve">متوسط</t>
  </si>
  <si>
    <t xml:space="preserve">الفئة تمريض والمسمى أخصائي تمريض مع قيمة التسجيل المهني = لا.</t>
  </si>
  <si>
    <t xml:space="preserve">التحقق من متطلبات التسجيل المهني وصحة الحقل.</t>
  </si>
  <si>
    <t xml:space="preserve">تاريخ الانتهاء 2026-08-11؛ الحالة الوظيفية: على رأس العمل.</t>
  </si>
  <si>
    <t xml:space="preserve">الفئة الصحة المساعدة والمسمى فني مختبر مع قيمة التسجيل المهني = لا.</t>
  </si>
  <si>
    <t xml:space="preserve">جودة البيانات</t>
  </si>
  <si>
    <t xml:space="preserve">عالٍ</t>
  </si>
  <si>
    <t xml:space="preserve">حقل الحالة الوظيفية فارغ.</t>
  </si>
  <si>
    <t xml:space="preserve">استكمال الحالة قبل استخدام السجل في قرارات القوى العاملة.</t>
  </si>
  <si>
    <t xml:space="preserve">راتب أساسي = 0</t>
  </si>
  <si>
    <t xml:space="preserve">الراتب الأساسي مسجل بقيمة صفر.</t>
  </si>
  <si>
    <t xml:space="preserve">التحقق من مصدر الراتب قبل أي تحليل مالي.</t>
  </si>
  <si>
    <t xml:space="preserve">مواءمة القوى العاملة</t>
  </si>
  <si>
    <t xml:space="preserve">تعارض بين المسمى والعمل الفعلي</t>
  </si>
  <si>
    <t xml:space="preserve">المسمى سائق إسعاف بينما جهة العمل الفعلية طبيب أسنان</t>
  </si>
  <si>
    <t xml:space="preserve">مراجعة التكليف/النقل أو تحديث المسمى والفئة وجهة العمل الفعلية.</t>
  </si>
  <si>
    <t xml:space="preserve">تقييم أداء خارج النطاق</t>
  </si>
  <si>
    <t xml:space="preserve">القيمة المسجلة -3 وخارج نطاق 0-100.</t>
  </si>
  <si>
    <t xml:space="preserve">تصحيح التقييم أو استبعاده من متوسط الأداء لحين التحقق.</t>
  </si>
  <si>
    <t xml:space="preserve">المسمى طبيب مقيم بينما جهة العمل الفعلية سائق إسعاف</t>
  </si>
  <si>
    <t xml:space="preserve">تاريخ الانتهاء 2026-06-24؛ الحالة الوظيفية: على رأس العمل.</t>
  </si>
  <si>
    <t xml:space="preserve">المسمى فني صيدلة بينما جهة العمل الفعلية مدير تقنية المعلومات</t>
  </si>
  <si>
    <t xml:space="preserve">تاريخ الانتهاء 2025-01-31؛ الحالة الوظيفية: على رأس العمل.</t>
  </si>
  <si>
    <t xml:space="preserve">تاريخ الانتهاء 2026-02-08؛ الحالة الوظيفية: على رأس العمل.</t>
  </si>
  <si>
    <t xml:space="preserve">عمر عند التعيين غير منطقي</t>
  </si>
  <si>
    <t xml:space="preserve">العمر المحسوب عند التعيين ≈ 2.9 سنة.</t>
  </si>
  <si>
    <t xml:space="preserve">التحقق من تاريخ الميلاد أو تاريخ التعيين.</t>
  </si>
  <si>
    <t xml:space="preserve">تاريخ الانتهاء 2026-09-10 بعد 22 يومًا.</t>
  </si>
  <si>
    <t xml:space="preserve">بدء إجراءات التجديد قبل تاريخ الانتهاء.</t>
  </si>
  <si>
    <t xml:space="preserve">تاريخ الانتهاء 2025-08-01؛ الحالة الوظيفية: غير محدد.</t>
  </si>
  <si>
    <t xml:space="preserve">تاريخ الانتهاء 2026-04-05؛ الحالة الوظيفية: غير محدد.</t>
  </si>
  <si>
    <t xml:space="preserve">المسمى فني صيانة بينما جهة العمل الفعلية أخصائي أشعة - الرنين المغناطيسي</t>
  </si>
  <si>
    <t xml:space="preserve">الفئة أطباء والمسمى استشاري نساء وولادة مع قيمة التسجيل المهني = لا.</t>
  </si>
  <si>
    <t xml:space="preserve">تاريخ الانتهاء 2026-07-09؛ الحالة الوظيفية: على رأس العمل.</t>
  </si>
  <si>
    <t xml:space="preserve">تاريخ الانتهاء 2025-09-12؛ الحالة الوظيفية: على رأس العمل.</t>
  </si>
  <si>
    <t xml:space="preserve">عمر مرتفع يحتاج تحقق</t>
  </si>
  <si>
    <t xml:space="preserve">العمر المحسوب بتاريخ التحليل ≈ 88 سنة.</t>
  </si>
  <si>
    <t xml:space="preserve">التحقق من تاريخ الميلاد والحالة الوظيفية.</t>
  </si>
  <si>
    <t xml:space="preserve">المسمى مشرف تمريض بينما جهة العمل الفعلية أمين مستودع</t>
  </si>
  <si>
    <t xml:space="preserve">الفئة/المسمى تمريض بينما جهة العمل الفعلية مدير الشؤون المالية</t>
  </si>
  <si>
    <t xml:space="preserve">ظهر الرقم الوظيفي في 2 صفوف بالمصدر؛ تم الاحتفاظ بسجل واحد بعد المقارنة.</t>
  </si>
  <si>
    <t xml:space="preserve">مراجعة السجل الأصلي واعتماد سجل موحد.</t>
  </si>
  <si>
    <t xml:space="preserve">تاريخ الانتهاء 2026-08-16؛ الحالة الوظيفية: على رأس العمل.</t>
  </si>
  <si>
    <t xml:space="preserve">المسمى أخصائي أشعة بينما جهة العمل الفعلية مدير إدارة الموارد البشرية</t>
  </si>
  <si>
    <t xml:space="preserve">المسمى أخصائي تمريض بينما جهة العمل الفعلية استشاري جراحة عامة</t>
  </si>
  <si>
    <t xml:space="preserve">تاريخ الانتهاء 2026-02-14؛ الحالة الوظيفية: على رأس العمل.</t>
  </si>
  <si>
    <t xml:space="preserve">تاريخ الانتهاء 2026-06-20؛ الحالة الوظيفية: على رأس العمل.</t>
  </si>
  <si>
    <t xml:space="preserve">تاريخ الانتهاء 2025-03-05؛ الحالة الوظيفية: غير محدد.</t>
  </si>
  <si>
    <t xml:space="preserve">تحليل المنشآت</t>
  </si>
  <si>
    <t xml:space="preserve">البعد</t>
  </si>
  <si>
    <t xml:space="preserve">نسبة على رأس العمل</t>
  </si>
  <si>
    <t xml:space="preserve">نسبة السعودة</t>
  </si>
  <si>
    <t xml:space="preserve">رواتب على رأس العمل</t>
  </si>
  <si>
    <t xml:space="preserve">تحليل الفئات الوظيفية</t>
  </si>
  <si>
    <t xml:space="preserve">تحليل الحالة الوظيفية ونوع التعاقد</t>
  </si>
  <si>
    <t xml:space="preserve">نوع التعاقد</t>
  </si>
  <si>
    <t xml:space="preserve">حالة التصنيف</t>
  </si>
  <si>
    <t xml:space="preserve">العدد</t>
  </si>
  <si>
    <t xml:space="preserve">تاريخ_الانتهاء</t>
  </si>
  <si>
    <t xml:space="preserve">الأيام_المتبقية</t>
  </si>
  <si>
    <t xml:space="preserve">التوصيات التطويرية المبنية على نتائج التحليل</t>
  </si>
  <si>
    <t xml:space="preserve">#</t>
  </si>
  <si>
    <t xml:space="preserve">الإجراء المقترح</t>
  </si>
  <si>
    <t xml:space="preserve">الأثر المتوقع</t>
  </si>
  <si>
    <t xml:space="preserve">عاجلة</t>
  </si>
  <si>
    <t xml:space="preserve">تجديد التصنيفات المهنية</t>
  </si>
  <si>
    <t xml:space="preserve">معالجة 10 حالات على رأس العمل بتصنيف مهني منتهي، وبدء تجديد الحالة التي تنتهي خلال 90 يومًا.</t>
  </si>
  <si>
    <t xml:space="preserve">إغلاق مخاطر صلاحية التصنيف قبل أي تخطيط تشغيلي.</t>
  </si>
  <si>
    <t xml:space="preserve">استكمال الحالة الوظيفية</t>
  </si>
  <si>
    <t xml:space="preserve">استكمال الحالة لـ 8 موظفين قبل احتساب التوفر الفعلي أو اتخاذ قرارات إعادة توزيع.</t>
  </si>
  <si>
    <t xml:space="preserve">رفع موثوقية مؤشرات التوفر والاحتياج.</t>
  </si>
  <si>
    <t xml:space="preserve">مراجعة التعارضات الوظيفية</t>
  </si>
  <si>
    <t xml:space="preserve">مراجعة 8 سجلات يظهر فيها اختلاف جوهري بين المسمى/الفئة وجهة العمل الفعلية.</t>
  </si>
  <si>
    <t xml:space="preserve">تحديد ما إذا كان السبب تكليفًا صحيحًا أو خطأ بيانات أو حاجة لتحديث الملاك/المسمى.</t>
  </si>
  <si>
    <t xml:space="preserve">عالية</t>
  </si>
  <si>
    <t xml:space="preserve">تصحيح جودة بيانات الرواتب والأداء</t>
  </si>
  <si>
    <t xml:space="preserve">التحقق من راتبين أساسيين بقيمة صفر، وتقييم أداء واحد خارج النطاق في السجل المعتمد.</t>
  </si>
  <si>
    <t xml:space="preserve">منع تشويه التحليل المالي والأداء.</t>
  </si>
  <si>
    <t xml:space="preserve">معالجة التكرارات</t>
  </si>
  <si>
    <t xml:space="preserve">توحيد 3 أرقام وظيفية مكررة في المصدر، مع اعتماد قاعدة فريدة للرقم الوظيفي.</t>
  </si>
  <si>
    <t xml:space="preserve">منع العد المزدوج وتضارب المؤشرات.</t>
  </si>
  <si>
    <t xml:space="preserve">بوابة جودة قبل Power BI</t>
  </si>
  <si>
    <t xml:space="preserve">إنشاء قواعد تحقق آلية للحالة، التواريخ، الراتب، الأداء، والتصنيف قبل التحديث الدوري.</t>
  </si>
  <si>
    <t xml:space="preserve">تحويل التنظيف من تدخل يدوي إلى عملية مستدامة.</t>
  </si>
  <si>
    <t xml:space="preserve">7</t>
  </si>
  <si>
    <t xml:space="preserve">تطويرية</t>
  </si>
  <si>
    <t xml:space="preserve">استكمال متغيرات التخطيط</t>
  </si>
  <si>
    <t xml:space="preserve">إضافة الملاك المعتمد/Target FTE، حجم الطلب أو عبء العمل، الشواغر، ونسب الإشغال لكل منشأة وتخصص.</t>
  </si>
  <si>
    <t xml:space="preserve">تمكين حساب العجز والفائض ونسبة التغطية بشكل صحيح بدلاً من التخمين.</t>
  </si>
  <si>
    <t xml:space="preserve">8</t>
  </si>
  <si>
    <t xml:space="preserve">لوحة متابعة شهرية</t>
  </si>
  <si>
    <t xml:space="preserve">اعتماد لوحة شهرية لمؤشرات التوزيع، الحالات الوظيفية، السعودة، الأداء، التصنيف المهني وجودة البيانات.</t>
  </si>
  <si>
    <t xml:space="preserve">إعطاء الإدارة التنفيذية إنذارًا مبكرًا ومتابعة قابلة للتنفيذ.</t>
  </si>
  <si>
    <t xml:space="preserve">قاموس المؤشرات ومنهجية الحساب</t>
  </si>
  <si>
    <t xml:space="preserve">المؤشر</t>
  </si>
  <si>
    <t xml:space="preserve">التعريف</t>
  </si>
  <si>
    <t xml:space="preserve">الوحدة</t>
  </si>
  <si>
    <t xml:space="preserve">ملاحظة منهجية</t>
  </si>
  <si>
    <t xml:space="preserve">إجمالي الموظفين الفريدين</t>
  </si>
  <si>
    <t xml:space="preserve">عدد الأرقام الوظيفية الفريدة بعد إزالة التكرارات</t>
  </si>
  <si>
    <t xml:space="preserve">موظف</t>
  </si>
  <si>
    <t xml:space="preserve">محسوب من السجل المنظف بعد إزالة التكرارات.</t>
  </si>
  <si>
    <t xml:space="preserve">عدد السجلات التي حالتها الوظيفية = على رأس العمل</t>
  </si>
  <si>
    <t xml:space="preserve">عدد الموظفين السعوديين / إجمالي الموظفين الفريدين</t>
  </si>
  <si>
    <t xml:space="preserve">%</t>
  </si>
  <si>
    <t xml:space="preserve">مؤشر وصفي للملف الحالي وليس نسبة توطين نظامية مستهدفة.</t>
  </si>
  <si>
    <t xml:space="preserve">متوسط تقييم 2025 بعد استبعاد القيم خارج 0-100</t>
  </si>
  <si>
    <t xml:space="preserve">درجة</t>
  </si>
  <si>
    <t xml:space="preserve">تم استبعاد أي قيمة خارج النطاق 0-100.</t>
  </si>
  <si>
    <t xml:space="preserve">الرواتب الأساسية للحالات على رأس العمل</t>
  </si>
  <si>
    <t xml:space="preserve">مجموع الراتب الأساسي لمن حالتهم على رأس العمل، وفق البيانات المتاحة</t>
  </si>
  <si>
    <t xml:space="preserve">ر.س/شهر</t>
  </si>
  <si>
    <t xml:space="preserve">لا يمثل التكلفة الكلية ولا يشمل البدلات، مع وجود راتبين صفريين يحتاجان تحقق.</t>
  </si>
  <si>
    <t xml:space="preserve">التصنيفات المهنية المنتهية</t>
  </si>
  <si>
    <t xml:space="preserve">عدد المسجلين مهنياً بتصنيف انتهى قبل تاريخ التحليل</t>
  </si>
  <si>
    <t xml:space="preserve">حالة</t>
  </si>
  <si>
    <t xml:space="preserve">محسوب بالنسبة لتاريخ التحليل 2026-08-19.</t>
  </si>
  <si>
    <t xml:space="preserve">التصنيفات المنتهية - على رأس العمل</t>
  </si>
  <si>
    <t xml:space="preserve">من انتهى تصنيفه وحالته على رأس العمل</t>
  </si>
  <si>
    <t xml:space="preserve">عدد التصنيفات المهنية التي تنتهي خلال 90 يوماً من تاريخ التحليل</t>
  </si>
  <si>
    <t xml:space="preserve">عدد السجلات التي لم تتضمن حالة وظيفية</t>
  </si>
  <si>
    <t xml:space="preserve">سجل</t>
  </si>
  <si>
    <t xml:space="preserve">عدد السجلات التي يظهر فيها تعارض واضح بين المسمى/الفئة والعمل الفعلي</t>
  </si>
  <si>
    <t xml:space="preserve">إشارة تحليلية للمراجعة وليست حكمًا نهائيًا على صحة التكليف.</t>
  </si>
  <si>
    <t xml:space="preserve">عدد السجلات ذات الراتب الأساسي = 0</t>
  </si>
  <si>
    <t xml:space="preserve">تقييم أداء غير صالح</t>
  </si>
  <si>
    <t xml:space="preserve">عدد الموظفين الذين لا يمكن اعتماد تقييم أدائهم بعد التنظيف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</si>
</sst>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"/>
    <numFmt numFmtId="166" formatCode="0.0%"/>
    <numFmt numFmtId="167" formatCode="0.0"/>
    <numFmt numFmtId="168" formatCode="#,##0&quot; ر.س&quot;"/>
    <numFmt numFmtId="169" formatCode="0"/>
    <numFmt numFmtId="170" formatCode="yyyy\-mm\-dd"/>
    <numFmt numFmtId="171" formatCode="#,##0;\-#,##0"/>
  </numFmts>
  <fonts count="21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Calibri"/>
      <family val="0"/>
      <charset val="1"/>
    </font>
    <font>
      <b val="true"/>
      <sz val="20"/>
      <color rgb="FFFFFFFF"/>
      <name val="Janna LT"/>
      <family val="0"/>
      <charset val="1"/>
    </font>
    <font>
      <sz val="10"/>
      <color rgb="FF52697A"/>
      <name val="Janna LT"/>
      <family val="0"/>
      <charset val="1"/>
    </font>
    <font>
      <b val="true"/>
      <sz val="10"/>
      <color rgb="FFFFFFFF"/>
      <name val="Janna LT"/>
      <family val="0"/>
      <charset val="1"/>
    </font>
    <font>
      <b val="true"/>
      <sz val="20"/>
      <color rgb="FF234C6E"/>
      <name val="Janna LT"/>
      <family val="0"/>
      <charset val="1"/>
    </font>
    <font>
      <b val="true"/>
      <sz val="12"/>
      <color rgb="FFFFFFFF"/>
      <name val="Janna LT"/>
      <family val="0"/>
      <charset val="1"/>
    </font>
    <font>
      <sz val="11"/>
      <color rgb="FF1B2A38"/>
      <name val="Janna LT"/>
      <family val="0"/>
      <charset val="1"/>
    </font>
    <font>
      <b val="true"/>
      <sz val="11"/>
      <color rgb="FF234C6E"/>
      <name val="Janna LT"/>
      <family val="0"/>
      <charset val="1"/>
    </font>
    <font>
      <sz val="10.5"/>
      <color rgb="FF1B2A38"/>
      <name val="Janna LT"/>
      <family val="0"/>
      <charset val="1"/>
    </font>
    <font>
      <b val="true"/>
      <sz val="10.5"/>
      <color rgb="FFB42318"/>
      <name val="Janna LT"/>
      <family val="0"/>
      <charset val="1"/>
    </font>
    <font>
      <b val="true"/>
      <sz val="10.5"/>
      <color rgb="FF1B2A38"/>
      <name val="Janna LT"/>
      <family val="0"/>
      <charset val="1"/>
    </font>
    <font>
      <b val="true"/>
      <sz val="10.5"/>
      <color rgb="FF4FA0C2"/>
      <name val="Janna LT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1"/>
      <color rgb="FFFFFFFF"/>
      <name val="Janna LT"/>
      <family val="0"/>
      <charset val="1"/>
    </font>
    <font>
      <b val="true"/>
      <sz val="16"/>
      <color rgb="FFFFFFFF"/>
      <name val="Janna LT"/>
      <family val="0"/>
      <charset val="1"/>
    </font>
    <font>
      <b val="true"/>
      <sz val="15"/>
      <color rgb="FFFFFFFF"/>
      <name val="Janna LT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234C6E"/>
        <bgColor rgb="FF245E86"/>
      </patternFill>
    </fill>
    <fill>
      <patternFill patternType="solid">
        <fgColor rgb="FFF5F8FA"/>
        <bgColor rgb="FFFFFFFF"/>
      </patternFill>
    </fill>
    <fill>
      <patternFill patternType="solid">
        <fgColor rgb="FF3B7FB6"/>
        <bgColor rgb="FF4FA0C2"/>
      </patternFill>
    </fill>
    <fill>
      <patternFill patternType="solid">
        <fgColor rgb="FFFFFFFF"/>
        <bgColor rgb="FFF5F8FA"/>
      </patternFill>
    </fill>
    <fill>
      <patternFill patternType="solid">
        <fgColor rgb="FFC9972B"/>
        <bgColor rgb="FFD97706"/>
      </patternFill>
    </fill>
    <fill>
      <patternFill patternType="solid">
        <fgColor rgb="FFFFF6DD"/>
        <bgColor rgb="FFFFF4CC"/>
      </patternFill>
    </fill>
    <fill>
      <patternFill patternType="solid">
        <fgColor rgb="FF245E86"/>
        <bgColor rgb="FF15608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E4E9EF"/>
      </left>
      <right style="thin">
        <color rgb="FFE4E9EF"/>
      </right>
      <top style="thin">
        <color rgb="FFE4E9EF"/>
      </top>
      <bottom style="thin">
        <color rgb="FFE4E9EF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4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2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6" fillId="3" borderId="0" xfId="2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7" fillId="4" borderId="1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8" fillId="5" borderId="1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8" fillId="5" borderId="1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8" fillId="5" borderId="1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8" fillId="5" borderId="1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6" borderId="1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6" borderId="0" xfId="2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10" fillId="7" borderId="0" xfId="2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9" fillId="2" borderId="0" xfId="2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9" fillId="8" borderId="0" xfId="2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11" fillId="3" borderId="1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5" borderId="1" xfId="2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13" fillId="5" borderId="1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5" borderId="1" xfId="2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15" fillId="5" borderId="1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2" borderId="1" xfId="2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9" fontId="12" fillId="5" borderId="1" xfId="2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12" fillId="5" borderId="1" xfId="2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0" fontId="12" fillId="5" borderId="1" xfId="2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5" fontId="12" fillId="5" borderId="1" xfId="2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7" fontId="12" fillId="5" borderId="1" xfId="2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9" fontId="12" fillId="3" borderId="1" xfId="2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12" fillId="3" borderId="1" xfId="2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0" fontId="12" fillId="3" borderId="1" xfId="2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5" fontId="12" fillId="3" borderId="1" xfId="2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7" fontId="12" fillId="3" borderId="1" xfId="2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12" fillId="3" borderId="1" xfId="2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19" fillId="2" borderId="0" xfId="2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6" fontId="12" fillId="5" borderId="1" xfId="2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6" fontId="12" fillId="3" borderId="1" xfId="2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9" fillId="8" borderId="1" xfId="2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1" fontId="12" fillId="5" borderId="1" xfId="2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1" fontId="12" fillId="3" borderId="1" xfId="2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20" fillId="2" borderId="0" xfId="2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12" fillId="5" borderId="1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3" borderId="1" xfId="2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" xfId="20"/>
  </cellStyles>
  <dxfs count="21">
    <dxf>
      <fill>
        <patternFill patternType="solid">
          <fgColor rgb="FF234C6E"/>
          <bgColor rgb="FF000000"/>
        </patternFill>
      </fill>
    </dxf>
    <dxf>
      <fill>
        <patternFill patternType="solid">
          <fgColor rgb="FFF5F8FA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B2A38"/>
          <bgColor rgb="FF000000"/>
        </patternFill>
      </fill>
    </dxf>
    <dxf>
      <fill>
        <patternFill patternType="solid">
          <fgColor rgb="FFFFF4CC"/>
          <bgColor rgb="FF000000"/>
        </patternFill>
      </fill>
    </dxf>
    <dxf>
      <fill>
        <patternFill patternType="solid">
          <fgColor rgb="FF7A5C00"/>
          <bgColor rgb="FF000000"/>
        </patternFill>
      </fill>
    </dxf>
    <dxf>
      <fill>
        <patternFill patternType="solid">
          <fgColor rgb="FFFEE4E2"/>
          <bgColor rgb="FF000000"/>
        </patternFill>
      </fill>
    </dxf>
    <dxf>
      <fill>
        <patternFill patternType="solid">
          <fgColor rgb="FFFEF0C7"/>
          <bgColor rgb="FF000000"/>
        </patternFill>
      </fill>
    </dxf>
    <dxf>
      <fill>
        <patternFill patternType="solid">
          <fgColor rgb="FFB42318"/>
          <bgColor rgb="FF000000"/>
        </patternFill>
      </fill>
    </dxf>
    <dxf>
      <fill>
        <patternFill patternType="solid">
          <fgColor rgb="FFD97706"/>
          <bgColor rgb="FF000000"/>
        </patternFill>
      </fill>
    </dxf>
    <dxf>
      <fill>
        <patternFill patternType="solid">
          <fgColor rgb="FFFDECEC"/>
          <bgColor rgb="FF000000"/>
        </patternFill>
      </fill>
    </dxf>
    <dxf>
      <font>
        <b val="1"/>
        <color rgb="FFB42318"/>
      </font>
      <fill>
        <patternFill>
          <bgColor rgb="FFFEE4E2"/>
        </patternFill>
      </fill>
    </dxf>
    <dxf>
      <font>
        <b val="1"/>
        <color rgb="FFD97706"/>
      </font>
      <fill>
        <patternFill>
          <bgColor rgb="FFFEF0C7"/>
        </patternFill>
      </fill>
    </dxf>
    <dxf>
      <font>
        <color rgb="FF7A5C00"/>
      </font>
      <fill>
        <patternFill>
          <bgColor rgb="FFFFF4CC"/>
        </patternFill>
      </fill>
    </dxf>
    <dxf>
      <font>
        <b val="1"/>
        <color rgb="FFB42318"/>
      </font>
      <fill>
        <patternFill>
          <bgColor rgb="FFFDECEC"/>
        </patternFill>
      </fill>
    </dxf>
    <dxf>
      <fill>
        <patternFill patternType="solid">
          <fgColor rgb="FFF04438"/>
          <bgColor rgb="FF000000"/>
        </patternFill>
      </fill>
    </dxf>
    <dxf>
      <font>
        <b val="1"/>
        <color rgb="FFFFFFFF"/>
      </font>
      <fill>
        <patternFill>
          <bgColor rgb="FFF04438"/>
        </patternFill>
      </fill>
    </dxf>
    <dxf>
      <font>
        <b val="1"/>
        <color rgb="FF7A5C00"/>
      </font>
      <fill>
        <patternFill>
          <bgColor rgb="FFFEF0C7"/>
        </patternFill>
      </fill>
    </dxf>
    <dxf>
      <fill>
        <patternFill patternType="solid">
          <fgColor rgb="FFE4F2EB"/>
          <bgColor rgb="FF000000"/>
        </patternFill>
      </fill>
    </dxf>
    <dxf>
      <fill>
        <patternFill patternType="solid">
          <fgColor rgb="FF14804A"/>
          <bgColor rgb="FF000000"/>
        </patternFill>
      </fill>
    </dxf>
    <dxf>
      <font>
        <b val="1"/>
        <color rgb="FF14804A"/>
      </font>
      <fill>
        <patternFill>
          <bgColor rgb="FFE4F2EB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A5C00"/>
      <rgbColor rgb="FF800080"/>
      <rgbColor rgb="FF14804A"/>
      <rgbColor rgb="FFCCCCCC"/>
      <rgbColor rgb="FF8B8B8B"/>
      <rgbColor rgb="FF9999FF"/>
      <rgbColor rgb="FFF04438"/>
      <rgbColor rgb="FFFFF4CC"/>
      <rgbColor rgb="FFE4F2EB"/>
      <rgbColor rgb="FF660066"/>
      <rgbColor rgb="FFFF8080"/>
      <rgbColor rgb="FF245E86"/>
      <rgbColor rgb="FFD9D9D9"/>
      <rgbColor rgb="FF000080"/>
      <rgbColor rgb="FFFF00FF"/>
      <rgbColor rgb="FFFFFF00"/>
      <rgbColor rgb="FF00FFFF"/>
      <rgbColor rgb="FF800080"/>
      <rgbColor rgb="FF800000"/>
      <rgbColor rgb="FF156082"/>
      <rgbColor rgb="FF0000FF"/>
      <rgbColor rgb="FF00CCFF"/>
      <rgbColor rgb="FFE4E9EF"/>
      <rgbColor rgb="FFF5F8FA"/>
      <rgbColor rgb="FFFEF0C7"/>
      <rgbColor rgb="FFFDECEC"/>
      <rgbColor rgb="FFFFF6DD"/>
      <rgbColor rgb="FFCC99FF"/>
      <rgbColor rgb="FFFEE4E2"/>
      <rgbColor rgb="FF3B7FB6"/>
      <rgbColor rgb="FF33CCCC"/>
      <rgbColor rgb="FF99CC00"/>
      <rgbColor rgb="FFFFCC00"/>
      <rgbColor rgb="FFC9972B"/>
      <rgbColor rgb="FFD97706"/>
      <rgbColor rgb="FF52697A"/>
      <rgbColor rgb="FF969696"/>
      <rgbColor rgb="FF003366"/>
      <rgbColor rgb="FF4FA0C2"/>
      <rgbColor rgb="FF003300"/>
      <rgbColor rgb="FF333300"/>
      <rgbColor rgb="FFB42318"/>
      <rgbColor rgb="FF993366"/>
      <rgbColor rgb="FF234C6E"/>
      <rgbColor rgb="FF1B2A3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  <a:ea typeface="Calibri"/>
              </a:rPr>
              <a:t>توزيع القوى العاملة حسب الفئة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"إجمالي الموظفين"</c:f>
              <c:strCache>
                <c:ptCount val="1"/>
                <c:pt idx="0">
                  <c:v>إجمالي الموظفين</c:v>
                </c:pt>
              </c:strCache>
            </c:strRef>
          </c:tx>
          <c:spPr>
            <a:solidFill>
              <a:srgbClr val="156082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تحليل_الفئات!$A$4:$A$9</c:f>
              <c:strCache>
                <c:ptCount val="6"/>
                <c:pt idx="0">
                  <c:v>تمريض</c:v>
                </c:pt>
                <c:pt idx="1">
                  <c:v>الصحة المساعدة</c:v>
                </c:pt>
                <c:pt idx="2">
                  <c:v>أطباء</c:v>
                </c:pt>
                <c:pt idx="3">
                  <c:v>الخدمات المساندة</c:v>
                </c:pt>
                <c:pt idx="4">
                  <c:v>الإدارية</c:v>
                </c:pt>
                <c:pt idx="5">
                  <c:v>الخدمات المعاونة</c:v>
                </c:pt>
              </c:strCache>
            </c:strRef>
          </c:cat>
          <c:val>
            <c:numRef>
              <c:f>تحليل_الفئات!$B$4:$B$9</c:f>
              <c:numCache>
                <c:formatCode>#,##0</c:formatCode>
                <c:ptCount val="6"/>
                <c:pt idx="0">
                  <c:v>21</c:v>
                </c:pt>
                <c:pt idx="1">
                  <c:v>12</c:v>
                </c:pt>
                <c:pt idx="2">
                  <c:v>10</c:v>
                </c:pt>
                <c:pt idx="3">
                  <c:v>3</c:v>
                </c:pt>
                <c:pt idx="4">
                  <c:v>3</c:v>
                </c:pt>
                <c:pt idx="5">
                  <c:v>1</c:v>
                </c:pt>
              </c:numCache>
            </c:numRef>
          </c:val>
        </c:ser>
        <c:gapWidth val="150"/>
        <c:overlap val="0"/>
        <c:axId val="9156047"/>
        <c:axId val="37447924"/>
      </c:barChart>
      <c:catAx>
        <c:axId val="9156047"/>
        <c:scaling>
          <c:orientation val="minMax"/>
        </c:scaling>
        <c:delete val="0"/>
        <c:axPos val="b"/>
        <c:majorGridlines>
          <c:spPr>
            <a:ln w="9360">
              <a:solidFill>
                <a:srgbClr val="cccccc"/>
              </a:solidFill>
              <a:prstDash val="dash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37447924"/>
        <c:crosses val="autoZero"/>
        <c:auto val="1"/>
        <c:lblAlgn val="ctr"/>
        <c:lblOffset val="100"/>
        <c:noMultiLvlLbl val="0"/>
      </c:catAx>
      <c:valAx>
        <c:axId val="37447924"/>
        <c:scaling>
          <c:orientation val="minMax"/>
        </c:scaling>
        <c:delete val="0"/>
        <c:axPos val="l"/>
        <c:majorGridlines>
          <c:spPr>
            <a:ln w="9360">
              <a:solidFill>
                <a:srgbClr val="cccccc"/>
              </a:solidFill>
              <a:prstDash val="dash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9156047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  <a:ea typeface="Calibri"/>
              </a:rPr>
              <a:t>توزيع الموظفين حسب المنشآت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"إجمالي الموظفين"</c:f>
              <c:strCache>
                <c:ptCount val="1"/>
                <c:pt idx="0">
                  <c:v>إجمالي الموظفين</c:v>
                </c:pt>
              </c:strCache>
            </c:strRef>
          </c:tx>
          <c:spPr>
            <a:solidFill>
              <a:srgbClr val="156082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تحليل_المنشآت!$A$4:$A$7</c:f>
              <c:strCache>
                <c:ptCount val="4"/>
                <c:pt idx="0">
                  <c:v>مستشفى الملك خالد المدني</c:v>
                </c:pt>
                <c:pt idx="1">
                  <c:v>مستشفى الملك فهد التخصصي بتبوك</c:v>
                </c:pt>
                <c:pt idx="2">
                  <c:v>مستشفى ضباء العام</c:v>
                </c:pt>
                <c:pt idx="3">
                  <c:v>مركز صحي المروج</c:v>
                </c:pt>
              </c:strCache>
            </c:strRef>
          </c:cat>
          <c:val>
            <c:numRef>
              <c:f>تحليل_المنشآت!$B$4:$B$7</c:f>
              <c:numCache>
                <c:formatCode>#,##0</c:formatCode>
                <c:ptCount val="4"/>
                <c:pt idx="0">
                  <c:v>23</c:v>
                </c:pt>
                <c:pt idx="1">
                  <c:v>16</c:v>
                </c:pt>
                <c:pt idx="2">
                  <c:v>6</c:v>
                </c:pt>
                <c:pt idx="3">
                  <c:v>5</c:v>
                </c:pt>
              </c:numCache>
            </c:numRef>
          </c:val>
        </c:ser>
        <c:gapWidth val="150"/>
        <c:overlap val="0"/>
        <c:axId val="54957870"/>
        <c:axId val="12554549"/>
      </c:barChart>
      <c:catAx>
        <c:axId val="54957870"/>
        <c:scaling>
          <c:orientation val="minMax"/>
        </c:scaling>
        <c:delete val="0"/>
        <c:axPos val="b"/>
        <c:majorGridlines>
          <c:spPr>
            <a:ln w="9360">
              <a:solidFill>
                <a:srgbClr val="cccccc"/>
              </a:solidFill>
              <a:prstDash val="dash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12554549"/>
        <c:crosses val="autoZero"/>
        <c:auto val="1"/>
        <c:lblAlgn val="ctr"/>
        <c:lblOffset val="100"/>
        <c:noMultiLvlLbl val="0"/>
      </c:catAx>
      <c:valAx>
        <c:axId val="12554549"/>
        <c:scaling>
          <c:orientation val="minMax"/>
        </c:scaling>
        <c:delete val="0"/>
        <c:axPos val="l"/>
        <c:majorGridlines>
          <c:spPr>
            <a:ln w="9360">
              <a:solidFill>
                <a:srgbClr val="cccccc"/>
              </a:solidFill>
              <a:prstDash val="dash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54957870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  <a:ea typeface="Calibri"/>
              </a:rPr>
              <a:t>توزيع الموظفين حسب الفئات الوظيفية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"إجمالي الموظفين"</c:f>
              <c:strCache>
                <c:ptCount val="1"/>
                <c:pt idx="0">
                  <c:v>إجمالي الموظفين</c:v>
                </c:pt>
              </c:strCache>
            </c:strRef>
          </c:tx>
          <c:spPr>
            <a:solidFill>
              <a:srgbClr val="156082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تحليل_الفئات!$A$4:$A$9</c:f>
              <c:strCache>
                <c:ptCount val="6"/>
                <c:pt idx="0">
                  <c:v>تمريض</c:v>
                </c:pt>
                <c:pt idx="1">
                  <c:v>الصحة المساعدة</c:v>
                </c:pt>
                <c:pt idx="2">
                  <c:v>أطباء</c:v>
                </c:pt>
                <c:pt idx="3">
                  <c:v>الخدمات المساندة</c:v>
                </c:pt>
                <c:pt idx="4">
                  <c:v>الإدارية</c:v>
                </c:pt>
                <c:pt idx="5">
                  <c:v>الخدمات المعاونة</c:v>
                </c:pt>
              </c:strCache>
            </c:strRef>
          </c:cat>
          <c:val>
            <c:numRef>
              <c:f>تحليل_الفئات!$B$4:$B$9</c:f>
              <c:numCache>
                <c:formatCode>#,##0</c:formatCode>
                <c:ptCount val="6"/>
                <c:pt idx="0">
                  <c:v>21</c:v>
                </c:pt>
                <c:pt idx="1">
                  <c:v>12</c:v>
                </c:pt>
                <c:pt idx="2">
                  <c:v>10</c:v>
                </c:pt>
                <c:pt idx="3">
                  <c:v>3</c:v>
                </c:pt>
                <c:pt idx="4">
                  <c:v>3</c:v>
                </c:pt>
                <c:pt idx="5">
                  <c:v>1</c:v>
                </c:pt>
              </c:numCache>
            </c:numRef>
          </c:val>
        </c:ser>
        <c:gapWidth val="150"/>
        <c:overlap val="0"/>
        <c:axId val="76418118"/>
        <c:axId val="78316988"/>
      </c:barChart>
      <c:catAx>
        <c:axId val="76418118"/>
        <c:scaling>
          <c:orientation val="minMax"/>
        </c:scaling>
        <c:delete val="0"/>
        <c:axPos val="b"/>
        <c:majorGridlines>
          <c:spPr>
            <a:ln w="9360">
              <a:solidFill>
                <a:srgbClr val="cccccc"/>
              </a:solidFill>
              <a:prstDash val="dash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78316988"/>
        <c:crosses val="autoZero"/>
        <c:auto val="1"/>
        <c:lblAlgn val="ctr"/>
        <c:lblOffset val="100"/>
        <c:noMultiLvlLbl val="0"/>
      </c:catAx>
      <c:valAx>
        <c:axId val="78316988"/>
        <c:scaling>
          <c:orientation val="minMax"/>
        </c:scaling>
        <c:delete val="0"/>
        <c:axPos val="l"/>
        <c:majorGridlines>
          <c:spPr>
            <a:ln w="9360">
              <a:solidFill>
                <a:srgbClr val="cccccc"/>
              </a:solidFill>
              <a:prstDash val="dash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76418118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  <a:ea typeface="Calibri"/>
              </a:rPr>
              <a:t>توزيع الحالة الوظيفية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"إجمالي الموظفين"</c:f>
              <c:strCache>
                <c:ptCount val="1"/>
                <c:pt idx="0">
                  <c:v>إجمالي الموظفين</c:v>
                </c:pt>
              </c:strCache>
            </c:strRef>
          </c:tx>
          <c:spPr>
            <a:solidFill>
              <a:srgbClr val="156082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الحالة_والعقود!$A$5:$A$9</c:f>
              <c:strCache>
                <c:ptCount val="5"/>
                <c:pt idx="0">
                  <c:v>على رأس العمل</c:v>
                </c:pt>
                <c:pt idx="1">
                  <c:v>غير محدد</c:v>
                </c:pt>
                <c:pt idx="2">
                  <c:v>منتهي الخدمة</c:v>
                </c:pt>
                <c:pt idx="3">
                  <c:v>إجازة اضطرارية طويلة</c:v>
                </c:pt>
                <c:pt idx="4">
                  <c:v>موقوف عن العمل</c:v>
                </c:pt>
              </c:strCache>
            </c:strRef>
          </c:cat>
          <c:val>
            <c:numRef>
              <c:f>الحالة_والعقود!$B$5:$B$9</c:f>
              <c:numCache>
                <c:formatCode>#,##0</c:formatCode>
                <c:ptCount val="5"/>
                <c:pt idx="0">
                  <c:v>36</c:v>
                </c:pt>
                <c:pt idx="1">
                  <c:v>8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</c:numCache>
            </c:numRef>
          </c:val>
        </c:ser>
        <c:gapWidth val="150"/>
        <c:overlap val="0"/>
        <c:axId val="87013633"/>
        <c:axId val="35596097"/>
      </c:barChart>
      <c:catAx>
        <c:axId val="87013633"/>
        <c:scaling>
          <c:orientation val="minMax"/>
        </c:scaling>
        <c:delete val="0"/>
        <c:axPos val="b"/>
        <c:majorGridlines>
          <c:spPr>
            <a:ln w="9360">
              <a:solidFill>
                <a:srgbClr val="cccccc"/>
              </a:solidFill>
              <a:prstDash val="dash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35596097"/>
        <c:crosses val="autoZero"/>
        <c:auto val="1"/>
        <c:lblAlgn val="ctr"/>
        <c:lblOffset val="100"/>
        <c:noMultiLvlLbl val="0"/>
      </c:catAx>
      <c:valAx>
        <c:axId val="35596097"/>
        <c:scaling>
          <c:orientation val="minMax"/>
        </c:scaling>
        <c:delete val="0"/>
        <c:axPos val="l"/>
        <c:majorGridlines>
          <c:spPr>
            <a:ln w="9360">
              <a:solidFill>
                <a:srgbClr val="cccccc"/>
              </a:solidFill>
              <a:prstDash val="dash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87013633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  <a:ea typeface="Calibri"/>
              </a:rPr>
              <a:t>توزيع نوع التعاقد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"إجمالي الموظفين"</c:f>
              <c:strCache>
                <c:ptCount val="1"/>
                <c:pt idx="0">
                  <c:v>إجمالي الموظفين</c:v>
                </c:pt>
              </c:strCache>
            </c:strRef>
          </c:tx>
          <c:spPr>
            <a:solidFill>
              <a:srgbClr val="156082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الحالة_والعقود!$A$14:$A$17</c:f>
              <c:strCache>
                <c:ptCount val="4"/>
                <c:pt idx="0">
                  <c:v>رسمي (بند الوظائف)</c:v>
                </c:pt>
                <c:pt idx="1">
                  <c:v>تشغيل ذاتي</c:v>
                </c:pt>
                <c:pt idx="2">
                  <c:v>عقود تشغيل</c:v>
                </c:pt>
                <c:pt idx="3">
                  <c:v>بند الأجور</c:v>
                </c:pt>
              </c:strCache>
            </c:strRef>
          </c:cat>
          <c:val>
            <c:numRef>
              <c:f>الحالة_والعقود!$B$14:$B$17</c:f>
              <c:numCache>
                <c:formatCode>#,##0</c:formatCode>
                <c:ptCount val="4"/>
                <c:pt idx="0">
                  <c:v>33</c:v>
                </c:pt>
                <c:pt idx="1">
                  <c:v>8</c:v>
                </c:pt>
                <c:pt idx="2">
                  <c:v>5</c:v>
                </c:pt>
                <c:pt idx="3">
                  <c:v>4</c:v>
                </c:pt>
              </c:numCache>
            </c:numRef>
          </c:val>
        </c:ser>
        <c:gapWidth val="150"/>
        <c:overlap val="0"/>
        <c:axId val="52435779"/>
        <c:axId val="84220851"/>
      </c:barChart>
      <c:catAx>
        <c:axId val="52435779"/>
        <c:scaling>
          <c:orientation val="minMax"/>
        </c:scaling>
        <c:delete val="0"/>
        <c:axPos val="b"/>
        <c:majorGridlines>
          <c:spPr>
            <a:ln w="9360">
              <a:solidFill>
                <a:srgbClr val="cccccc"/>
              </a:solidFill>
              <a:prstDash val="dash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84220851"/>
        <c:crosses val="autoZero"/>
        <c:auto val="1"/>
        <c:lblAlgn val="ctr"/>
        <c:lblOffset val="100"/>
        <c:noMultiLvlLbl val="0"/>
      </c:catAx>
      <c:valAx>
        <c:axId val="84220851"/>
        <c:scaling>
          <c:orientation val="minMax"/>
        </c:scaling>
        <c:delete val="0"/>
        <c:axPos val="l"/>
        <c:majorGridlines>
          <c:spPr>
            <a:ln w="9360">
              <a:solidFill>
                <a:srgbClr val="cccccc"/>
              </a:solidFill>
              <a:prstDash val="dash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52435779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4.xml"/><Relationship Id="rId2" Type="http://schemas.openxmlformats.org/officeDocument/2006/relationships/chart" Target="../charts/chart5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-444240</xdr:colOff>
      <xdr:row>24</xdr:row>
      <xdr:rowOff>0</xdr:rowOff>
    </xdr:from>
    <xdr:to>
      <xdr:col>10</xdr:col>
      <xdr:colOff>-360</xdr:colOff>
      <xdr:row>38</xdr:row>
      <xdr:rowOff>189720</xdr:rowOff>
    </xdr:to>
    <xdr:graphicFrame>
      <xdr:nvGraphicFramePr>
        <xdr:cNvPr id="0" name="Chart 2"/>
        <xdr:cNvGraphicFramePr/>
      </xdr:nvGraphicFramePr>
      <xdr:xfrm>
        <a:off x="-10044720" y="7905600"/>
        <a:ext cx="6043680" cy="28569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-758160</xdr:colOff>
      <xdr:row>2</xdr:row>
      <xdr:rowOff>0</xdr:rowOff>
    </xdr:from>
    <xdr:to>
      <xdr:col>16</xdr:col>
      <xdr:colOff>0</xdr:colOff>
      <xdr:row>17</xdr:row>
      <xdr:rowOff>189720</xdr:rowOff>
    </xdr:to>
    <xdr:graphicFrame>
      <xdr:nvGraphicFramePr>
        <xdr:cNvPr id="1" name="Chart 1"/>
        <xdr:cNvGraphicFramePr/>
      </xdr:nvGraphicFramePr>
      <xdr:xfrm>
        <a:off x="-22694400" y="514440"/>
        <a:ext cx="6069960" cy="30470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-758520</xdr:colOff>
      <xdr:row>2</xdr:row>
      <xdr:rowOff>0</xdr:rowOff>
    </xdr:from>
    <xdr:to>
      <xdr:col>16</xdr:col>
      <xdr:colOff>-360</xdr:colOff>
      <xdr:row>17</xdr:row>
      <xdr:rowOff>189720</xdr:rowOff>
    </xdr:to>
    <xdr:graphicFrame>
      <xdr:nvGraphicFramePr>
        <xdr:cNvPr id="2" name="Chart 1"/>
        <xdr:cNvGraphicFramePr/>
      </xdr:nvGraphicFramePr>
      <xdr:xfrm>
        <a:off x="-21894480" y="514440"/>
        <a:ext cx="6069960" cy="30470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-758520</xdr:colOff>
      <xdr:row>2</xdr:row>
      <xdr:rowOff>0</xdr:rowOff>
    </xdr:from>
    <xdr:to>
      <xdr:col>16</xdr:col>
      <xdr:colOff>-360</xdr:colOff>
      <xdr:row>13</xdr:row>
      <xdr:rowOff>189720</xdr:rowOff>
    </xdr:to>
    <xdr:graphicFrame>
      <xdr:nvGraphicFramePr>
        <xdr:cNvPr id="3" name="Chart 1"/>
        <xdr:cNvGraphicFramePr/>
      </xdr:nvGraphicFramePr>
      <xdr:xfrm>
        <a:off x="-23050800" y="514440"/>
        <a:ext cx="6069960" cy="2285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-758520</xdr:colOff>
      <xdr:row>15</xdr:row>
      <xdr:rowOff>0</xdr:rowOff>
    </xdr:from>
    <xdr:to>
      <xdr:col>16</xdr:col>
      <xdr:colOff>-360</xdr:colOff>
      <xdr:row>26</xdr:row>
      <xdr:rowOff>189720</xdr:rowOff>
    </xdr:to>
    <xdr:graphicFrame>
      <xdr:nvGraphicFramePr>
        <xdr:cNvPr id="4" name="Chart 2"/>
        <xdr:cNvGraphicFramePr/>
      </xdr:nvGraphicFramePr>
      <xdr:xfrm>
        <a:off x="-23050800" y="2990880"/>
        <a:ext cx="6069960" cy="2285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CategoryAnalysis" displayName="CategoryAnalysis" ref="A3:I9" headerRowCount="1" totalsRowCount="0" totalsRowShown="0">
  <tableColumns count="9">
    <tableColumn id="1" name="البعد"/>
    <tableColumn id="2" name="إجمالي الموظفين"/>
    <tableColumn id="3" name="على رأس العمل"/>
    <tableColumn id="4" name="نسبة على رأس العمل"/>
    <tableColumn id="5" name="سعودي"/>
    <tableColumn id="6" name="نسبة السعودة"/>
    <tableColumn id="7" name="متوسط الأداء الصحيح"/>
    <tableColumn id="8" name="رواتب على رأس العمل"/>
    <tableColumn id="9" name="تصنيف منتهي - على رأس العمل"/>
  </tableColumns>
</table>
</file>

<file path=xl/tables/table2.xml><?xml version="1.0" encoding="utf-8"?>
<table xmlns="http://schemas.openxmlformats.org/spreadsheetml/2006/main" id="2" name="ClassificationRisks" displayName="ClassificationRisks" ref="D4:K18" headerRowCount="1" totalsRowCount="0" totalsRowShown="0">
  <tableColumns count="8">
    <tableColumn id="1" name="الرقم_الوظيفي"/>
    <tableColumn id="2" name="اسم_الموظف"/>
    <tableColumn id="3" name="المنشأة"/>
    <tableColumn id="4" name="الفئة_الوظيفية"/>
    <tableColumn id="5" name="الحالة_الوظيفية"/>
    <tableColumn id="6" name="تاريخ_الانتهاء"/>
    <tableColumn id="7" name="حالة_التصنيف"/>
    <tableColumn id="8" name="الأيام_المتبقية"/>
  </tableColumns>
</table>
</file>

<file path=xl/tables/table3.xml><?xml version="1.0" encoding="utf-8"?>
<table xmlns="http://schemas.openxmlformats.org/spreadsheetml/2006/main" id="3" name="ContractAnalysis" displayName="ContractAnalysis" ref="A13:I17" headerRowCount="1" totalsRowCount="0" totalsRowShown="0">
  <tableColumns count="9">
    <tableColumn id="1" name="البعد"/>
    <tableColumn id="2" name="إجمالي الموظفين"/>
    <tableColumn id="3" name="على رأس العمل"/>
    <tableColumn id="4" name="نسبة على رأس العمل"/>
    <tableColumn id="5" name="سعودي"/>
    <tableColumn id="6" name="نسبة السعودة"/>
    <tableColumn id="7" name="متوسط الأداء الصحيح"/>
    <tableColumn id="8" name="رواتب على رأس العمل"/>
    <tableColumn id="9" name="تصنيف منتهي - على رأس العمل"/>
  </tableColumns>
</table>
</file>

<file path=xl/tables/table4.xml><?xml version="1.0" encoding="utf-8"?>
<table xmlns="http://schemas.openxmlformats.org/spreadsheetml/2006/main" id="4" name="FacilityAnalysis" displayName="FacilityAnalysis" ref="A3:I7" headerRowCount="1" totalsRowCount="0" totalsRowShown="0">
  <tableColumns count="9">
    <tableColumn id="1" name="البعد"/>
    <tableColumn id="2" name="إجمالي الموظفين"/>
    <tableColumn id="3" name="على رأس العمل"/>
    <tableColumn id="4" name="نسبة على رأس العمل"/>
    <tableColumn id="5" name="سعودي"/>
    <tableColumn id="6" name="نسبة السعودة"/>
    <tableColumn id="7" name="متوسط الأداء الصحيح"/>
    <tableColumn id="8" name="رواتب على رأس العمل"/>
    <tableColumn id="9" name="تصنيف منتهي - على رأس العمل"/>
  </tableColumns>
</table>
</file>

<file path=xl/tables/table5.xml><?xml version="1.0" encoding="utf-8"?>
<table xmlns="http://schemas.openxmlformats.org/spreadsheetml/2006/main" id="5" name="KPIDictionary" displayName="KPIDictionary" ref="A4:D16" headerRowCount="1" totalsRowCount="0" totalsRowShown="0">
  <tableColumns count="4">
    <tableColumn id="1" name="المؤشر"/>
    <tableColumn id="2" name="التعريف"/>
    <tableColumn id="3" name="الوحدة"/>
    <tableColumn id="4" name="ملاحظة منهجية"/>
  </tableColumns>
</table>
</file>

<file path=xl/tables/table6.xml><?xml version="1.0" encoding="utf-8"?>
<table xmlns="http://schemas.openxmlformats.org/spreadsheetml/2006/main" id="6" name="QualityIssuesTable" displayName="QualityIssuesTable" ref="A1:G43" headerRowCount="1" totalsRowCount="0" totalsRowShown="0">
  <tableColumns count="7">
    <tableColumn id="1" name="الرقم_الوظيفي"/>
    <tableColumn id="2" name="اسم_الموظف"/>
    <tableColumn id="3" name="المحور"/>
    <tableColumn id="4" name="الأولوية"/>
    <tableColumn id="5" name="نوع_الملاحظة"/>
    <tableColumn id="6" name="التفاصيل"/>
    <tableColumn id="7" name="الإجراء_المقترح"/>
  </tableColumns>
</table>
</file>

<file path=xl/tables/table7.xml><?xml version="1.0" encoding="utf-8"?>
<table xmlns="http://schemas.openxmlformats.org/spreadsheetml/2006/main" id="7" name="RecommendationsTable" displayName="RecommendationsTable" ref="A4:E12" headerRowCount="1" totalsRowCount="0" totalsRowShown="0">
  <tableColumns count="5">
    <tableColumn id="1" name="#"/>
    <tableColumn id="2" name="الأولوية"/>
    <tableColumn id="3" name="المحور"/>
    <tableColumn id="4" name="الإجراء المقترح"/>
    <tableColumn id="5" name="الأثر المتوقع"/>
  </tableColumns>
</table>
</file>

<file path=xl/tables/table8.xml><?xml version="1.0" encoding="utf-8"?>
<table xmlns="http://schemas.openxmlformats.org/spreadsheetml/2006/main" id="8" name="StatusAnalysis" displayName="StatusAnalysis" ref="A4:I9" headerRowCount="1" totalsRowCount="0" totalsRowShown="0">
  <tableColumns count="9">
    <tableColumn id="1" name="البعد"/>
    <tableColumn id="2" name="إجمالي الموظفين"/>
    <tableColumn id="3" name="على رأس العمل"/>
    <tableColumn id="4" name="نسبة على رأس العمل"/>
    <tableColumn id="5" name="سعودي"/>
    <tableColumn id="6" name="نسبة السعودة"/>
    <tableColumn id="7" name="متوسط الأداء الصحيح"/>
    <tableColumn id="8" name="رواتب على رأس العمل"/>
    <tableColumn id="9" name="تصنيف منتهي - على رأس العمل"/>
  </tableColumns>
</table>
</file>

<file path=xl/tables/table9.xml><?xml version="1.0" encoding="utf-8"?>
<table xmlns="http://schemas.openxmlformats.org/spreadsheetml/2006/main" id="9" name="WorkforceCleanTable" displayName="WorkforceCleanTable" ref="A1:AE51" headerRowCount="1" totalsRowCount="0" totalsRowShown="0">
  <tableColumns count="31">
    <tableColumn id="1" name="الرقم_الوظيفي"/>
    <tableColumn id="2" name="اسم_الموظف"/>
    <tableColumn id="3" name="الجنس"/>
    <tableColumn id="4" name="الجنسية"/>
    <tableColumn id="5" name="تاريخ_الميلاد"/>
    <tableColumn id="6" name="العمر"/>
    <tableColumn id="7" name="تاريخ_التعيين"/>
    <tableColumn id="8" name="سنوات_الخدمة"/>
    <tableColumn id="9" name="المنشأة"/>
    <tableColumn id="10" name="نوع_المنشأة"/>
    <tableColumn id="11" name="الإدارة_التنفيذية"/>
    <tableColumn id="12" name="الفئة_الوظيفية"/>
    <tableColumn id="13" name="المسمى_الوظيفي"/>
    <tableColumn id="14" name="التصنيف"/>
    <tableColumn id="15" name="نوع_التعاقد"/>
    <tableColumn id="16" name="الحالة_الوظيفية"/>
    <tableColumn id="17" name="الراتب_الأساسي"/>
    <tableColumn id="18" name="تقييم_الأداء_2025"/>
    <tableColumn id="19" name="تقييم_الأداء_المصدر"/>
    <tableColumn id="20" name="تقييم_صالح"/>
    <tableColumn id="21" name="المؤهل_العلمي"/>
    <tableColumn id="22" name="مسجل_في_التصنيف_المهني"/>
    <tableColumn id="23" name="تاريخ_انتهاء_التصنيف"/>
    <tableColumn id="24" name="حالة_التصنيف"/>
    <tableColumn id="25" name="الأيام_حتى_انتهاء_التصنيف"/>
    <tableColumn id="26" name="جهة_العمل_الفعلية"/>
    <tableColumn id="27" name="تعارض_الدور"/>
    <tableColumn id="28" name="ملخص_مشكلات_الجودة"/>
    <tableColumn id="29" name="عدد_مشكلات_الجودة"/>
    <tableColumn id="30" name="عدد_سجلات_المصدر"/>
    <tableColumn id="31" name="صف_المصدر_المعتمد"/>
  </tableColumns>
</table>
</file>

<file path=xl/tables/table10.xml><?xml version="1.0" encoding="utf-8"?>
<table xmlns="http://schemas.openxmlformats.org/spreadsheetml/2006/main" id="10" name="WorkforceRawTable" displayName="WorkforceRawTable" ref="A1:T54" headerRowCount="1" totalsRowCount="0" totalsRowShown="0">
  <tableColumns count="20">
    <tableColumn id="1" name="الرقم_الوظيفي"/>
    <tableColumn id="2" name="اسم_الموظف"/>
    <tableColumn id="3" name="الجنس"/>
    <tableColumn id="4" name="الجنسية"/>
    <tableColumn id="5" name="تاريخ_الميلاد"/>
    <tableColumn id="6" name="تاريخ_التعيين"/>
    <tableColumn id="7" name="المنشأة"/>
    <tableColumn id="8" name="نوع_المنشأة"/>
    <tableColumn id="9" name="الإدارة_التنفيذية"/>
    <tableColumn id="10" name="الفئة_الوظيفية"/>
    <tableColumn id="11" name="المسمى_الوظيفي"/>
    <tableColumn id="12" name="التصنيف"/>
    <tableColumn id="13" name="نوع_التعاقد"/>
    <tableColumn id="14" name="الحالة_الوظيفية"/>
    <tableColumn id="15" name="الراتب_الأساسي"/>
    <tableColumn id="16" name="تقييم_الأداء_2025"/>
    <tableColumn id="17" name="المؤهل_العلمي"/>
    <tableColumn id="18" name="مسجل_في_التصنيف_المهني"/>
    <tableColumn id="19" name="تاريخ_انتهاء_التصنيف"/>
    <tableColumn id="20" name="جهة العمل الفعلية"/>
  </tableColumns>
</table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9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10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6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table" Target="../tables/table1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table" Target="../tables/table3.xml"/><Relationship Id="rId3" Type="http://schemas.openxmlformats.org/officeDocument/2006/relationships/table" Target="../tables/table8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table" Target="../tables/table7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3"/>
  <sheetViews>
    <sheetView showFormulas="false" showGridLines="true" showRowColHeaders="true" showZeros="true" rightToLeft="tru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10.76953125" defaultRowHeight="15" zeroHeight="false" outlineLevelRow="0" outlineLevelCol="0"/>
  <cols>
    <col collapsed="false" customWidth="true" hidden="false" outlineLevel="0" max="1" min="1" style="1" width="6.31"/>
    <col collapsed="false" customWidth="true" hidden="false" outlineLevel="0" max="2" min="2" style="1" width="18.92"/>
    <col collapsed="false" customWidth="true" hidden="false" outlineLevel="0" max="3" min="3" style="1" width="6.31"/>
    <col collapsed="false" customWidth="true" hidden="false" outlineLevel="0" max="4" min="4" style="1" width="18.92"/>
    <col collapsed="false" customWidth="true" hidden="false" outlineLevel="0" max="5" min="5" style="1" width="6.31"/>
    <col collapsed="false" customWidth="true" hidden="false" outlineLevel="0" max="6" min="6" style="1" width="18.92"/>
    <col collapsed="false" customWidth="true" hidden="false" outlineLevel="0" max="7" min="7" style="1" width="6.31"/>
    <col collapsed="false" customWidth="true" hidden="false" outlineLevel="0" max="8" min="8" style="1" width="15.13"/>
    <col collapsed="false" customWidth="true" hidden="false" outlineLevel="0" max="9" min="9" style="1" width="20.18"/>
    <col collapsed="false" customWidth="true" hidden="false" outlineLevel="0" max="10" min="10" style="1" width="18.92"/>
    <col collapsed="false" customWidth="true" hidden="false" outlineLevel="0" max="11" min="11" style="1" width="6.31"/>
    <col collapsed="false" customWidth="true" hidden="false" outlineLevel="0" max="12" min="12" style="1" width="18.92"/>
  </cols>
  <sheetData>
    <row r="1" customFormat="false" ht="27.7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7.75" hidden="false" customHeight="true" outlineLevel="0" collapsed="false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8" hidden="false" customHeight="true" outlineLevel="0" collapsed="false">
      <c r="A3" s="3" t="s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</row>
    <row r="5" customFormat="false" ht="24" hidden="false" customHeight="true" outlineLevel="0" collapsed="false">
      <c r="A5" s="4" t="s">
        <v>2</v>
      </c>
      <c r="B5" s="4"/>
      <c r="C5" s="4" t="s">
        <v>3</v>
      </c>
      <c r="D5" s="4"/>
      <c r="E5" s="4" t="s">
        <v>4</v>
      </c>
      <c r="F5" s="4"/>
      <c r="G5" s="4" t="s">
        <v>5</v>
      </c>
      <c r="H5" s="4"/>
      <c r="I5" s="4" t="s">
        <v>6</v>
      </c>
      <c r="J5" s="4"/>
      <c r="K5" s="4" t="s">
        <v>7</v>
      </c>
      <c r="L5" s="4"/>
    </row>
    <row r="6" customFormat="false" ht="24" hidden="false" customHeight="true" outlineLevel="0" collapsed="false">
      <c r="A6" s="5" t="n">
        <f aca="false">COUNTA(البيانات_المنظفة!A2:A51)</f>
        <v>50</v>
      </c>
      <c r="B6" s="5"/>
      <c r="C6" s="5" t="n">
        <f aca="false">COUNTIF(البيانات_المنظفة!P2:P51,"على رأس العمل")</f>
        <v>36</v>
      </c>
      <c r="D6" s="5"/>
      <c r="E6" s="6" t="n">
        <f aca="false">COUNTIF(البيانات_المنظفة!D2:D51,"سعودي")/COUNTA(البيانات_المنظفة!A2:A51)</f>
        <v>0.58</v>
      </c>
      <c r="F6" s="6"/>
      <c r="G6" s="7" t="n">
        <f aca="false">AVERAGE(البيانات_المنظفة!R2:R51)</f>
        <v>85.1857142857143</v>
      </c>
      <c r="H6" s="7"/>
      <c r="I6" s="8" t="n">
        <f aca="false">SUMIF(البيانات_المنظفة!P2:P51,"على رأس العمل",البيانات_المنظفة!Q2:Q51)</f>
        <v>444200</v>
      </c>
      <c r="J6" s="8"/>
      <c r="K6" s="5" t="n">
        <f aca="false">COUNTIFS(البيانات_المنظفة!P2:P51,"على رأس العمل",البيانات_المنظفة!X2:X51,"منتهي")</f>
        <v>10</v>
      </c>
      <c r="L6" s="5"/>
    </row>
    <row r="7" customFormat="false" ht="24" hidden="false" customHeight="true" outlineLevel="0" collapsed="false">
      <c r="A7" s="5"/>
      <c r="B7" s="5"/>
      <c r="C7" s="5"/>
      <c r="D7" s="5"/>
      <c r="E7" s="6"/>
      <c r="F7" s="6"/>
      <c r="G7" s="7"/>
      <c r="H7" s="7"/>
      <c r="I7" s="8"/>
      <c r="J7" s="8"/>
      <c r="K7" s="5"/>
      <c r="L7" s="5"/>
    </row>
    <row r="9" customFormat="false" ht="24" hidden="false" customHeight="true" outlineLevel="0" collapsed="false">
      <c r="A9" s="9" t="s">
        <v>8</v>
      </c>
      <c r="B9" s="9"/>
      <c r="C9" s="9" t="s">
        <v>9</v>
      </c>
      <c r="D9" s="9"/>
      <c r="E9" s="9" t="s">
        <v>10</v>
      </c>
      <c r="F9" s="9"/>
      <c r="G9" s="9" t="s">
        <v>11</v>
      </c>
      <c r="H9" s="9"/>
      <c r="I9" s="9" t="s">
        <v>12</v>
      </c>
      <c r="J9" s="9"/>
      <c r="K9" s="9" t="s">
        <v>13</v>
      </c>
      <c r="L9" s="9"/>
    </row>
    <row r="10" customFormat="false" ht="24" hidden="false" customHeight="true" outlineLevel="0" collapsed="false">
      <c r="A10" s="5" t="n">
        <f aca="false">COUNTIF(البيانات_المنظفة!P2:P51,"غير محدد")</f>
        <v>8</v>
      </c>
      <c r="B10" s="5"/>
      <c r="C10" s="5" t="n">
        <f aca="false">COUNTIF(البيانات_المنظفة!AA2:AA51,"يحتاج مراجعة")</f>
        <v>8</v>
      </c>
      <c r="D10" s="5"/>
      <c r="E10" s="5" t="n">
        <f aca="false">COUNTIF(البيانات_المنظفة!X2:X51,"ينتهي خلال 90 يوم")</f>
        <v>1</v>
      </c>
      <c r="F10" s="5"/>
      <c r="G10" s="5" t="n">
        <f aca="false">COUNTIF(البيانات_المنظفة!Q2:Q51,0)</f>
        <v>2</v>
      </c>
      <c r="H10" s="5"/>
      <c r="I10" s="5" t="n">
        <f aca="false">COUNTIF(البيانات_المنظفة!AD2:AD51,"&gt;1")</f>
        <v>3</v>
      </c>
      <c r="J10" s="5"/>
      <c r="K10" s="5" t="n">
        <f aca="false">COUNTIF(البيانات_المنظفة!X2:X51,"منتهي")</f>
        <v>13</v>
      </c>
      <c r="L10" s="5"/>
    </row>
    <row r="11" customFormat="false" ht="24" hidden="false" customHeight="true" outlineLevel="0" collapsed="false">
      <c r="A11" s="5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</row>
    <row r="13" customFormat="false" ht="24" hidden="false" customHeight="true" outlineLevel="0" collapsed="false">
      <c r="A13" s="10" t="s">
        <v>14</v>
      </c>
      <c r="B13" s="10"/>
      <c r="C13" s="10"/>
      <c r="D13" s="10"/>
      <c r="E13" s="10"/>
      <c r="F13" s="10"/>
      <c r="G13" s="10"/>
      <c r="H13" s="10"/>
      <c r="I13" s="10"/>
      <c r="J13" s="10"/>
      <c r="K13" s="10"/>
      <c r="L13" s="10"/>
    </row>
    <row r="14" customFormat="false" ht="45.75" hidden="false" customHeight="true" outlineLevel="0" collapsed="false">
      <c r="A14" s="11" t="s">
        <v>15</v>
      </c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</row>
    <row r="15" customFormat="false" ht="33.75" hidden="false" customHeight="true" outlineLevel="0" collapsed="false">
      <c r="A15" s="11"/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</row>
    <row r="17" customFormat="false" ht="24" hidden="false" customHeight="true" outlineLevel="0" collapsed="false">
      <c r="A17" s="12" t="s">
        <v>16</v>
      </c>
      <c r="B17" s="12"/>
      <c r="C17" s="12"/>
      <c r="D17" s="12"/>
      <c r="E17" s="12"/>
      <c r="F17" s="12"/>
      <c r="G17" s="13" t="s">
        <v>17</v>
      </c>
      <c r="H17" s="13"/>
      <c r="I17" s="13"/>
      <c r="J17" s="13"/>
      <c r="K17" s="13"/>
      <c r="L17" s="13"/>
    </row>
    <row r="18" customFormat="false" ht="33.75" hidden="false" customHeight="true" outlineLevel="0" collapsed="false">
      <c r="A18" s="14" t="s">
        <v>18</v>
      </c>
      <c r="B18" s="15" t="s">
        <v>19</v>
      </c>
      <c r="C18" s="15"/>
      <c r="D18" s="15"/>
      <c r="E18" s="15"/>
      <c r="F18" s="15"/>
      <c r="G18" s="14" t="s">
        <v>18</v>
      </c>
      <c r="H18" s="16" t="s">
        <v>20</v>
      </c>
      <c r="I18" s="17" t="s">
        <v>21</v>
      </c>
      <c r="J18" s="15" t="s">
        <v>22</v>
      </c>
      <c r="K18" s="15"/>
      <c r="L18" s="15"/>
    </row>
    <row r="19" customFormat="false" ht="33.75" hidden="false" customHeight="true" outlineLevel="0" collapsed="false">
      <c r="A19" s="14" t="s">
        <v>23</v>
      </c>
      <c r="B19" s="15" t="s">
        <v>24</v>
      </c>
      <c r="C19" s="15"/>
      <c r="D19" s="15"/>
      <c r="E19" s="15"/>
      <c r="F19" s="15"/>
      <c r="G19" s="14" t="s">
        <v>23</v>
      </c>
      <c r="H19" s="16" t="s">
        <v>20</v>
      </c>
      <c r="I19" s="17" t="s">
        <v>25</v>
      </c>
      <c r="J19" s="15" t="s">
        <v>26</v>
      </c>
      <c r="K19" s="15"/>
      <c r="L19" s="15"/>
    </row>
    <row r="20" customFormat="false" ht="33.75" hidden="false" customHeight="true" outlineLevel="0" collapsed="false">
      <c r="A20" s="14" t="s">
        <v>27</v>
      </c>
      <c r="B20" s="15" t="s">
        <v>28</v>
      </c>
      <c r="C20" s="15"/>
      <c r="D20" s="15"/>
      <c r="E20" s="15"/>
      <c r="F20" s="15"/>
      <c r="G20" s="14" t="s">
        <v>27</v>
      </c>
      <c r="H20" s="16" t="s">
        <v>20</v>
      </c>
      <c r="I20" s="17" t="s">
        <v>29</v>
      </c>
      <c r="J20" s="15" t="s">
        <v>30</v>
      </c>
      <c r="K20" s="15"/>
      <c r="L20" s="15"/>
    </row>
    <row r="21" customFormat="false" ht="33.75" hidden="false" customHeight="true" outlineLevel="0" collapsed="false">
      <c r="A21" s="14" t="s">
        <v>31</v>
      </c>
      <c r="B21" s="15" t="s">
        <v>32</v>
      </c>
      <c r="C21" s="15"/>
      <c r="D21" s="15"/>
      <c r="E21" s="15"/>
      <c r="F21" s="15"/>
      <c r="G21" s="14" t="s">
        <v>31</v>
      </c>
      <c r="H21" s="18" t="s">
        <v>33</v>
      </c>
      <c r="I21" s="17" t="s">
        <v>34</v>
      </c>
      <c r="J21" s="15" t="s">
        <v>35</v>
      </c>
      <c r="K21" s="15"/>
      <c r="L21" s="15"/>
    </row>
    <row r="22" customFormat="false" ht="33.75" hidden="false" customHeight="true" outlineLevel="0" collapsed="false">
      <c r="A22" s="14" t="s">
        <v>36</v>
      </c>
      <c r="B22" s="15" t="s">
        <v>37</v>
      </c>
      <c r="C22" s="15"/>
      <c r="D22" s="15"/>
      <c r="E22" s="15"/>
      <c r="F22" s="15"/>
    </row>
    <row r="23" customFormat="false" ht="33.75" hidden="false" customHeight="true" outlineLevel="0" collapsed="false">
      <c r="A23" s="14" t="s">
        <v>38</v>
      </c>
      <c r="B23" s="15" t="s">
        <v>39</v>
      </c>
      <c r="C23" s="15"/>
      <c r="D23" s="15"/>
      <c r="E23" s="15"/>
      <c r="F23" s="15"/>
    </row>
  </sheetData>
  <mergeCells count="40">
    <mergeCell ref="A1:L2"/>
    <mergeCell ref="A3:L3"/>
    <mergeCell ref="A5:B5"/>
    <mergeCell ref="C5:D5"/>
    <mergeCell ref="E5:F5"/>
    <mergeCell ref="G5:H5"/>
    <mergeCell ref="I5:J5"/>
    <mergeCell ref="K5:L5"/>
    <mergeCell ref="A6:B7"/>
    <mergeCell ref="C6:D7"/>
    <mergeCell ref="E6:F7"/>
    <mergeCell ref="G6:H7"/>
    <mergeCell ref="I6:J7"/>
    <mergeCell ref="K6:L7"/>
    <mergeCell ref="A9:B9"/>
    <mergeCell ref="C9:D9"/>
    <mergeCell ref="E9:F9"/>
    <mergeCell ref="G9:H9"/>
    <mergeCell ref="I9:J9"/>
    <mergeCell ref="K9:L9"/>
    <mergeCell ref="A10:B11"/>
    <mergeCell ref="C10:D11"/>
    <mergeCell ref="E10:F11"/>
    <mergeCell ref="G10:H11"/>
    <mergeCell ref="I10:J11"/>
    <mergeCell ref="K10:L11"/>
    <mergeCell ref="A13:L13"/>
    <mergeCell ref="A14:L15"/>
    <mergeCell ref="A17:F17"/>
    <mergeCell ref="G17:L17"/>
    <mergeCell ref="B18:F18"/>
    <mergeCell ref="J18:L18"/>
    <mergeCell ref="B19:F19"/>
    <mergeCell ref="J19:L19"/>
    <mergeCell ref="B20:F20"/>
    <mergeCell ref="J20:L20"/>
    <mergeCell ref="B21:F21"/>
    <mergeCell ref="J21:L21"/>
    <mergeCell ref="B22:F22"/>
    <mergeCell ref="B23:F2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51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76953125" defaultRowHeight="15" zeroHeight="false" outlineLevelRow="0" outlineLevelCol="0"/>
  <cols>
    <col collapsed="false" customWidth="true" hidden="false" outlineLevel="0" max="1" min="1" style="1" width="18.92"/>
    <col collapsed="false" customWidth="true" hidden="false" outlineLevel="0" max="2" min="2" style="1" width="21.44"/>
    <col collapsed="false" customWidth="true" hidden="false" outlineLevel="0" max="4" min="3" style="1" width="11.35"/>
    <col collapsed="false" customWidth="true" hidden="false" outlineLevel="0" max="5" min="5" style="1" width="26.49"/>
    <col collapsed="false" customWidth="true" hidden="false" outlineLevel="0" max="6" min="6" style="1" width="11.35"/>
    <col collapsed="false" customWidth="true" hidden="false" outlineLevel="0" max="7" min="7" style="1" width="26.49"/>
    <col collapsed="false" customWidth="true" hidden="false" outlineLevel="0" max="8" min="8" style="1" width="17.66"/>
    <col collapsed="false" customWidth="true" hidden="false" outlineLevel="0" max="9" min="9" style="1" width="40.36"/>
    <col collapsed="false" customWidth="true" hidden="false" outlineLevel="0" max="10" min="10" style="1" width="22.7"/>
    <col collapsed="false" customWidth="true" hidden="false" outlineLevel="0" max="11" min="11" style="1" width="52.97"/>
    <col collapsed="false" customWidth="true" hidden="false" outlineLevel="0" max="12" min="12" style="1" width="22.7"/>
    <col collapsed="false" customWidth="true" hidden="false" outlineLevel="0" max="13" min="13" style="1" width="32.8"/>
    <col collapsed="false" customWidth="true" hidden="false" outlineLevel="0" max="14" min="14" style="1" width="17.66"/>
    <col collapsed="false" customWidth="true" hidden="false" outlineLevel="0" max="15" min="15" style="1" width="25.24"/>
    <col collapsed="false" customWidth="true" hidden="false" outlineLevel="0" max="16" min="16" style="1" width="27.75"/>
    <col collapsed="false" customWidth="true" hidden="false" outlineLevel="0" max="17" min="17" style="1" width="20.18"/>
    <col collapsed="false" customWidth="true" hidden="false" outlineLevel="0" max="18" min="18" style="1" width="23.96"/>
    <col collapsed="false" customWidth="true" hidden="false" outlineLevel="0" max="19" min="19" style="1" width="26.49"/>
    <col collapsed="false" customWidth="true" hidden="false" outlineLevel="0" max="20" min="20" style="1" width="15.13"/>
    <col collapsed="false" customWidth="true" hidden="false" outlineLevel="0" max="21" min="21" style="1" width="18.92"/>
    <col collapsed="false" customWidth="true" hidden="false" outlineLevel="0" max="22" min="22" style="1" width="30.27"/>
    <col collapsed="false" customWidth="true" hidden="false" outlineLevel="0" max="24" min="23" style="1" width="27.75"/>
    <col collapsed="false" customWidth="true" hidden="false" outlineLevel="0" max="25" min="25" style="1" width="34.06"/>
    <col collapsed="false" customWidth="true" hidden="false" outlineLevel="0" max="26" min="26" style="1" width="41.62"/>
    <col collapsed="false" customWidth="true" hidden="false" outlineLevel="0" max="27" min="27" style="1" width="26.49"/>
    <col collapsed="false" customWidth="true" hidden="false" outlineLevel="0" max="28" min="28" style="1" width="51.71"/>
    <col collapsed="false" customWidth="true" hidden="false" outlineLevel="0" max="29" min="29" style="1" width="23.96"/>
    <col collapsed="false" customWidth="true" hidden="false" outlineLevel="0" max="30" min="30" style="1" width="22.7"/>
    <col collapsed="false" customWidth="true" hidden="false" outlineLevel="0" max="31" min="31" style="1" width="23.96"/>
  </cols>
  <sheetData>
    <row r="1" customFormat="false" ht="33.75" hidden="false" customHeight="true" outlineLevel="0" collapsed="false">
      <c r="A1" s="19" t="s">
        <v>40</v>
      </c>
      <c r="B1" s="19" t="s">
        <v>41</v>
      </c>
      <c r="C1" s="19" t="s">
        <v>42</v>
      </c>
      <c r="D1" s="19" t="s">
        <v>43</v>
      </c>
      <c r="E1" s="19" t="s">
        <v>44</v>
      </c>
      <c r="F1" s="19" t="s">
        <v>45</v>
      </c>
      <c r="G1" s="19" t="s">
        <v>46</v>
      </c>
      <c r="H1" s="19" t="s">
        <v>47</v>
      </c>
      <c r="I1" s="19" t="s">
        <v>48</v>
      </c>
      <c r="J1" s="19" t="s">
        <v>49</v>
      </c>
      <c r="K1" s="19" t="s">
        <v>50</v>
      </c>
      <c r="L1" s="19" t="s">
        <v>51</v>
      </c>
      <c r="M1" s="19" t="s">
        <v>52</v>
      </c>
      <c r="N1" s="19" t="s">
        <v>53</v>
      </c>
      <c r="O1" s="19" t="s">
        <v>54</v>
      </c>
      <c r="P1" s="19" t="s">
        <v>55</v>
      </c>
      <c r="Q1" s="19" t="s">
        <v>56</v>
      </c>
      <c r="R1" s="19" t="s">
        <v>57</v>
      </c>
      <c r="S1" s="19" t="s">
        <v>58</v>
      </c>
      <c r="T1" s="19" t="s">
        <v>59</v>
      </c>
      <c r="U1" s="19" t="s">
        <v>60</v>
      </c>
      <c r="V1" s="19" t="s">
        <v>61</v>
      </c>
      <c r="W1" s="19" t="s">
        <v>62</v>
      </c>
      <c r="X1" s="19" t="s">
        <v>63</v>
      </c>
      <c r="Y1" s="19" t="s">
        <v>64</v>
      </c>
      <c r="Z1" s="19" t="s">
        <v>65</v>
      </c>
      <c r="AA1" s="19" t="s">
        <v>66</v>
      </c>
      <c r="AB1" s="19" t="s">
        <v>67</v>
      </c>
      <c r="AC1" s="19" t="s">
        <v>68</v>
      </c>
      <c r="AD1" s="19" t="s">
        <v>69</v>
      </c>
      <c r="AE1" s="19" t="s">
        <v>70</v>
      </c>
    </row>
    <row r="2" customFormat="false" ht="21.75" hidden="false" customHeight="true" outlineLevel="0" collapsed="false">
      <c r="A2" s="20" t="n">
        <v>300105</v>
      </c>
      <c r="B2" s="21" t="s">
        <v>71</v>
      </c>
      <c r="C2" s="21" t="s">
        <v>72</v>
      </c>
      <c r="D2" s="21" t="s">
        <v>73</v>
      </c>
      <c r="E2" s="22" t="n">
        <v>36775</v>
      </c>
      <c r="F2" s="23" t="n">
        <v>25</v>
      </c>
      <c r="G2" s="22" t="n">
        <v>45999</v>
      </c>
      <c r="H2" s="24" t="n">
        <v>0.7</v>
      </c>
      <c r="I2" s="21" t="s">
        <v>74</v>
      </c>
      <c r="J2" s="21" t="s">
        <v>75</v>
      </c>
      <c r="K2" s="21" t="s">
        <v>76</v>
      </c>
      <c r="L2" s="21" t="s">
        <v>77</v>
      </c>
      <c r="M2" s="21" t="s">
        <v>78</v>
      </c>
      <c r="N2" s="21" t="s">
        <v>79</v>
      </c>
      <c r="O2" s="21" t="s">
        <v>80</v>
      </c>
      <c r="P2" s="21" t="s">
        <v>3</v>
      </c>
      <c r="Q2" s="23" t="n">
        <v>15150</v>
      </c>
      <c r="R2" s="24" t="n">
        <v>91.9</v>
      </c>
      <c r="S2" s="24" t="n">
        <v>91.9</v>
      </c>
      <c r="T2" s="21" t="s">
        <v>81</v>
      </c>
      <c r="U2" s="21" t="s">
        <v>82</v>
      </c>
      <c r="V2" s="21" t="s">
        <v>81</v>
      </c>
      <c r="W2" s="22" t="n">
        <v>46148</v>
      </c>
      <c r="X2" s="21" t="s">
        <v>83</v>
      </c>
      <c r="Y2" s="23" t="n">
        <v>-105</v>
      </c>
      <c r="Z2" s="21" t="s">
        <v>78</v>
      </c>
      <c r="AA2" s="21" t="s">
        <v>84</v>
      </c>
      <c r="AB2" s="15" t="s">
        <v>85</v>
      </c>
      <c r="AC2" s="23" t="n">
        <v>0</v>
      </c>
      <c r="AD2" s="23" t="n">
        <v>1</v>
      </c>
      <c r="AE2" s="23" t="n">
        <v>26</v>
      </c>
    </row>
    <row r="3" customFormat="false" ht="21.75" hidden="false" customHeight="true" outlineLevel="0" collapsed="false">
      <c r="A3" s="25" t="n">
        <v>300108</v>
      </c>
      <c r="B3" s="26" t="s">
        <v>86</v>
      </c>
      <c r="C3" s="26" t="s">
        <v>72</v>
      </c>
      <c r="D3" s="26" t="s">
        <v>87</v>
      </c>
      <c r="E3" s="27" t="n">
        <v>29207</v>
      </c>
      <c r="F3" s="28" t="n">
        <v>46</v>
      </c>
      <c r="G3" s="27" t="n">
        <v>44912</v>
      </c>
      <c r="H3" s="29" t="n">
        <v>3.7</v>
      </c>
      <c r="I3" s="26" t="s">
        <v>88</v>
      </c>
      <c r="J3" s="26" t="s">
        <v>89</v>
      </c>
      <c r="K3" s="26" t="s">
        <v>76</v>
      </c>
      <c r="L3" s="26" t="s">
        <v>90</v>
      </c>
      <c r="M3" s="26" t="s">
        <v>91</v>
      </c>
      <c r="N3" s="26" t="s">
        <v>91</v>
      </c>
      <c r="O3" s="26" t="s">
        <v>80</v>
      </c>
      <c r="P3" s="26" t="s">
        <v>3</v>
      </c>
      <c r="Q3" s="28" t="n">
        <v>11200</v>
      </c>
      <c r="R3" s="29" t="n">
        <v>75.7</v>
      </c>
      <c r="S3" s="29" t="n">
        <v>75.7</v>
      </c>
      <c r="T3" s="26" t="s">
        <v>81</v>
      </c>
      <c r="U3" s="26" t="s">
        <v>92</v>
      </c>
      <c r="V3" s="26" t="s">
        <v>81</v>
      </c>
      <c r="W3" s="27" t="n">
        <v>46465</v>
      </c>
      <c r="X3" s="26" t="s">
        <v>93</v>
      </c>
      <c r="Y3" s="28" t="n">
        <v>212</v>
      </c>
      <c r="Z3" s="26" t="s">
        <v>94</v>
      </c>
      <c r="AA3" s="26" t="s">
        <v>84</v>
      </c>
      <c r="AB3" s="30" t="s">
        <v>85</v>
      </c>
      <c r="AC3" s="28" t="n">
        <v>0</v>
      </c>
      <c r="AD3" s="28" t="n">
        <v>1</v>
      </c>
      <c r="AE3" s="28" t="n">
        <v>39</v>
      </c>
    </row>
    <row r="4" customFormat="false" ht="21.75" hidden="false" customHeight="true" outlineLevel="0" collapsed="false">
      <c r="A4" s="20" t="n">
        <v>300113</v>
      </c>
      <c r="B4" s="21" t="s">
        <v>95</v>
      </c>
      <c r="C4" s="21" t="s">
        <v>96</v>
      </c>
      <c r="D4" s="21" t="s">
        <v>73</v>
      </c>
      <c r="E4" s="22" t="n">
        <v>25403</v>
      </c>
      <c r="F4" s="23" t="n">
        <v>57</v>
      </c>
      <c r="G4" s="22" t="n">
        <v>44446</v>
      </c>
      <c r="H4" s="24" t="n">
        <v>4.9</v>
      </c>
      <c r="I4" s="21" t="s">
        <v>88</v>
      </c>
      <c r="J4" s="21" t="s">
        <v>89</v>
      </c>
      <c r="K4" s="21" t="s">
        <v>76</v>
      </c>
      <c r="L4" s="21" t="s">
        <v>97</v>
      </c>
      <c r="M4" s="21" t="s">
        <v>98</v>
      </c>
      <c r="N4" s="21" t="s">
        <v>99</v>
      </c>
      <c r="O4" s="21" t="s">
        <v>100</v>
      </c>
      <c r="P4" s="21" t="s">
        <v>3</v>
      </c>
      <c r="Q4" s="23" t="n">
        <v>5050</v>
      </c>
      <c r="R4" s="24" t="n">
        <v>83.5</v>
      </c>
      <c r="S4" s="24" t="n">
        <v>83.5</v>
      </c>
      <c r="T4" s="21" t="s">
        <v>81</v>
      </c>
      <c r="U4" s="21" t="s">
        <v>82</v>
      </c>
      <c r="V4" s="21" t="s">
        <v>101</v>
      </c>
      <c r="W4" s="22"/>
      <c r="X4" s="21" t="s">
        <v>101</v>
      </c>
      <c r="Y4" s="23"/>
      <c r="Z4" s="21" t="s">
        <v>102</v>
      </c>
      <c r="AA4" s="21" t="s">
        <v>84</v>
      </c>
      <c r="AB4" s="15" t="s">
        <v>85</v>
      </c>
      <c r="AC4" s="23" t="n">
        <v>0</v>
      </c>
      <c r="AD4" s="23" t="n">
        <v>1</v>
      </c>
      <c r="AE4" s="23" t="n">
        <v>8</v>
      </c>
    </row>
    <row r="5" customFormat="false" ht="21.75" hidden="false" customHeight="true" outlineLevel="0" collapsed="false">
      <c r="A5" s="25" t="n">
        <v>300120</v>
      </c>
      <c r="B5" s="26" t="s">
        <v>103</v>
      </c>
      <c r="C5" s="26" t="s">
        <v>96</v>
      </c>
      <c r="D5" s="26" t="s">
        <v>104</v>
      </c>
      <c r="E5" s="27" t="n">
        <v>34769</v>
      </c>
      <c r="F5" s="28" t="n">
        <v>31</v>
      </c>
      <c r="G5" s="27" t="n">
        <v>43494</v>
      </c>
      <c r="H5" s="29" t="n">
        <v>7.6</v>
      </c>
      <c r="I5" s="26" t="s">
        <v>74</v>
      </c>
      <c r="J5" s="26" t="s">
        <v>75</v>
      </c>
      <c r="K5" s="26" t="s">
        <v>76</v>
      </c>
      <c r="L5" s="26" t="s">
        <v>90</v>
      </c>
      <c r="M5" s="26" t="s">
        <v>105</v>
      </c>
      <c r="N5" s="26" t="s">
        <v>91</v>
      </c>
      <c r="O5" s="26" t="s">
        <v>106</v>
      </c>
      <c r="P5" s="26" t="s">
        <v>3</v>
      </c>
      <c r="Q5" s="28" t="n">
        <v>8300</v>
      </c>
      <c r="R5" s="29" t="n">
        <v>79.8</v>
      </c>
      <c r="S5" s="29" t="n">
        <v>79.8</v>
      </c>
      <c r="T5" s="26" t="s">
        <v>81</v>
      </c>
      <c r="U5" s="26" t="s">
        <v>92</v>
      </c>
      <c r="V5" s="26" t="s">
        <v>81</v>
      </c>
      <c r="W5" s="27" t="n">
        <v>46719</v>
      </c>
      <c r="X5" s="26" t="s">
        <v>93</v>
      </c>
      <c r="Y5" s="28" t="n">
        <v>466</v>
      </c>
      <c r="Z5" s="26" t="s">
        <v>105</v>
      </c>
      <c r="AA5" s="26" t="s">
        <v>84</v>
      </c>
      <c r="AB5" s="30" t="s">
        <v>85</v>
      </c>
      <c r="AC5" s="28" t="n">
        <v>0</v>
      </c>
      <c r="AD5" s="28" t="n">
        <v>1</v>
      </c>
      <c r="AE5" s="28" t="n">
        <v>31</v>
      </c>
    </row>
    <row r="6" customFormat="false" ht="21.75" hidden="false" customHeight="true" outlineLevel="0" collapsed="false">
      <c r="A6" s="20" t="n">
        <v>300131</v>
      </c>
      <c r="B6" s="21" t="s">
        <v>107</v>
      </c>
      <c r="C6" s="21" t="s">
        <v>96</v>
      </c>
      <c r="D6" s="21" t="s">
        <v>108</v>
      </c>
      <c r="E6" s="22" t="n">
        <v>32047</v>
      </c>
      <c r="F6" s="23" t="n">
        <v>38</v>
      </c>
      <c r="G6" s="22" t="n">
        <v>43885</v>
      </c>
      <c r="H6" s="24" t="n">
        <v>6.5</v>
      </c>
      <c r="I6" s="21" t="s">
        <v>74</v>
      </c>
      <c r="J6" s="21" t="s">
        <v>75</v>
      </c>
      <c r="K6" s="21" t="s">
        <v>76</v>
      </c>
      <c r="L6" s="21" t="s">
        <v>90</v>
      </c>
      <c r="M6" s="21" t="s">
        <v>91</v>
      </c>
      <c r="N6" s="21" t="s">
        <v>91</v>
      </c>
      <c r="O6" s="21" t="s">
        <v>100</v>
      </c>
      <c r="P6" s="21" t="s">
        <v>109</v>
      </c>
      <c r="Q6" s="23" t="n">
        <v>9700</v>
      </c>
      <c r="R6" s="24" t="n">
        <v>94.6</v>
      </c>
      <c r="S6" s="24" t="n">
        <v>94.6</v>
      </c>
      <c r="T6" s="21" t="s">
        <v>81</v>
      </c>
      <c r="U6" s="21" t="s">
        <v>92</v>
      </c>
      <c r="V6" s="21" t="s">
        <v>110</v>
      </c>
      <c r="W6" s="22"/>
      <c r="X6" s="21" t="s">
        <v>111</v>
      </c>
      <c r="Y6" s="23"/>
      <c r="Z6" s="21" t="s">
        <v>94</v>
      </c>
      <c r="AA6" s="21" t="s">
        <v>84</v>
      </c>
      <c r="AB6" s="15" t="s">
        <v>112</v>
      </c>
      <c r="AC6" s="23" t="n">
        <v>1</v>
      </c>
      <c r="AD6" s="23" t="n">
        <v>1</v>
      </c>
      <c r="AE6" s="23" t="n">
        <v>42</v>
      </c>
    </row>
    <row r="7" customFormat="false" ht="21.75" hidden="false" customHeight="true" outlineLevel="0" collapsed="false">
      <c r="A7" s="25" t="n">
        <v>300142</v>
      </c>
      <c r="B7" s="26" t="s">
        <v>113</v>
      </c>
      <c r="C7" s="26" t="s">
        <v>72</v>
      </c>
      <c r="D7" s="26" t="s">
        <v>108</v>
      </c>
      <c r="E7" s="27" t="n">
        <v>24922</v>
      </c>
      <c r="F7" s="28" t="n">
        <v>58</v>
      </c>
      <c r="G7" s="27" t="n">
        <v>40953</v>
      </c>
      <c r="H7" s="29" t="n">
        <v>14.5</v>
      </c>
      <c r="I7" s="26" t="s">
        <v>88</v>
      </c>
      <c r="J7" s="26" t="s">
        <v>89</v>
      </c>
      <c r="K7" s="26" t="s">
        <v>76</v>
      </c>
      <c r="L7" s="26" t="s">
        <v>90</v>
      </c>
      <c r="M7" s="26" t="s">
        <v>114</v>
      </c>
      <c r="N7" s="26" t="s">
        <v>115</v>
      </c>
      <c r="O7" s="26" t="s">
        <v>100</v>
      </c>
      <c r="P7" s="26" t="s">
        <v>3</v>
      </c>
      <c r="Q7" s="28" t="n">
        <v>11500</v>
      </c>
      <c r="R7" s="29" t="n">
        <v>91.6</v>
      </c>
      <c r="S7" s="29" t="n">
        <v>91.6</v>
      </c>
      <c r="T7" s="26" t="s">
        <v>81</v>
      </c>
      <c r="U7" s="26" t="s">
        <v>116</v>
      </c>
      <c r="V7" s="26" t="s">
        <v>81</v>
      </c>
      <c r="W7" s="27" t="n">
        <v>46245</v>
      </c>
      <c r="X7" s="26" t="s">
        <v>83</v>
      </c>
      <c r="Y7" s="28" t="n">
        <v>-8</v>
      </c>
      <c r="Z7" s="26" t="s">
        <v>117</v>
      </c>
      <c r="AA7" s="26" t="s">
        <v>84</v>
      </c>
      <c r="AB7" s="30" t="s">
        <v>85</v>
      </c>
      <c r="AC7" s="28" t="n">
        <v>0</v>
      </c>
      <c r="AD7" s="28" t="n">
        <v>1</v>
      </c>
      <c r="AE7" s="28" t="n">
        <v>11</v>
      </c>
    </row>
    <row r="8" customFormat="false" ht="21.75" hidden="false" customHeight="true" outlineLevel="0" collapsed="false">
      <c r="A8" s="20" t="n">
        <v>300153</v>
      </c>
      <c r="B8" s="21" t="s">
        <v>118</v>
      </c>
      <c r="C8" s="21" t="s">
        <v>72</v>
      </c>
      <c r="D8" s="21" t="s">
        <v>108</v>
      </c>
      <c r="E8" s="22" t="n">
        <v>36109</v>
      </c>
      <c r="F8" s="23" t="n">
        <v>27</v>
      </c>
      <c r="G8" s="22" t="n">
        <v>44761</v>
      </c>
      <c r="H8" s="24" t="n">
        <v>4.1</v>
      </c>
      <c r="I8" s="21" t="s">
        <v>88</v>
      </c>
      <c r="J8" s="21" t="s">
        <v>89</v>
      </c>
      <c r="K8" s="21" t="s">
        <v>76</v>
      </c>
      <c r="L8" s="21" t="s">
        <v>119</v>
      </c>
      <c r="M8" s="21" t="s">
        <v>120</v>
      </c>
      <c r="N8" s="21" t="s">
        <v>99</v>
      </c>
      <c r="O8" s="21" t="s">
        <v>80</v>
      </c>
      <c r="P8" s="21" t="s">
        <v>3</v>
      </c>
      <c r="Q8" s="23" t="n">
        <v>5100</v>
      </c>
      <c r="R8" s="24" t="n">
        <v>98</v>
      </c>
      <c r="S8" s="24" t="n">
        <v>98</v>
      </c>
      <c r="T8" s="21" t="s">
        <v>81</v>
      </c>
      <c r="U8" s="21" t="s">
        <v>82</v>
      </c>
      <c r="V8" s="21" t="s">
        <v>101</v>
      </c>
      <c r="W8" s="22"/>
      <c r="X8" s="21" t="s">
        <v>101</v>
      </c>
      <c r="Y8" s="23"/>
      <c r="Z8" s="21" t="s">
        <v>120</v>
      </c>
      <c r="AA8" s="21" t="s">
        <v>84</v>
      </c>
      <c r="AB8" s="15" t="s">
        <v>85</v>
      </c>
      <c r="AC8" s="23" t="n">
        <v>0</v>
      </c>
      <c r="AD8" s="23" t="n">
        <v>1</v>
      </c>
      <c r="AE8" s="23" t="n">
        <v>30</v>
      </c>
    </row>
    <row r="9" customFormat="false" ht="21.75" hidden="false" customHeight="true" outlineLevel="0" collapsed="false">
      <c r="A9" s="25" t="n">
        <v>300162</v>
      </c>
      <c r="B9" s="26" t="s">
        <v>121</v>
      </c>
      <c r="C9" s="26" t="s">
        <v>96</v>
      </c>
      <c r="D9" s="26" t="s">
        <v>108</v>
      </c>
      <c r="E9" s="27" t="n">
        <v>36804</v>
      </c>
      <c r="F9" s="28" t="n">
        <v>25</v>
      </c>
      <c r="G9" s="27" t="n">
        <v>45338</v>
      </c>
      <c r="H9" s="29" t="n">
        <v>2.5</v>
      </c>
      <c r="I9" s="26" t="s">
        <v>88</v>
      </c>
      <c r="J9" s="26" t="s">
        <v>89</v>
      </c>
      <c r="K9" s="26" t="s">
        <v>76</v>
      </c>
      <c r="L9" s="26" t="s">
        <v>122</v>
      </c>
      <c r="M9" s="26" t="s">
        <v>123</v>
      </c>
      <c r="N9" s="26" t="s">
        <v>124</v>
      </c>
      <c r="O9" s="26" t="s">
        <v>80</v>
      </c>
      <c r="P9" s="26" t="s">
        <v>3</v>
      </c>
      <c r="Q9" s="28" t="n">
        <v>12000</v>
      </c>
      <c r="R9" s="29" t="n">
        <v>78.9</v>
      </c>
      <c r="S9" s="29" t="n">
        <v>78.9</v>
      </c>
      <c r="T9" s="26" t="s">
        <v>81</v>
      </c>
      <c r="U9" s="26" t="s">
        <v>116</v>
      </c>
      <c r="V9" s="26" t="s">
        <v>110</v>
      </c>
      <c r="W9" s="27"/>
      <c r="X9" s="26" t="s">
        <v>111</v>
      </c>
      <c r="Y9" s="28"/>
      <c r="Z9" s="26" t="s">
        <v>123</v>
      </c>
      <c r="AA9" s="26" t="s">
        <v>84</v>
      </c>
      <c r="AB9" s="30" t="s">
        <v>112</v>
      </c>
      <c r="AC9" s="28" t="n">
        <v>1</v>
      </c>
      <c r="AD9" s="28" t="n">
        <v>1</v>
      </c>
      <c r="AE9" s="28" t="n">
        <v>47</v>
      </c>
    </row>
    <row r="10" customFormat="false" ht="21.75" hidden="false" customHeight="true" outlineLevel="0" collapsed="false">
      <c r="A10" s="20" t="n">
        <v>300169</v>
      </c>
      <c r="B10" s="21" t="s">
        <v>125</v>
      </c>
      <c r="C10" s="21" t="s">
        <v>72</v>
      </c>
      <c r="D10" s="21" t="s">
        <v>108</v>
      </c>
      <c r="E10" s="22" t="n">
        <v>36166</v>
      </c>
      <c r="F10" s="23" t="n">
        <v>27</v>
      </c>
      <c r="G10" s="22" t="n">
        <v>45509</v>
      </c>
      <c r="H10" s="24" t="n">
        <v>2</v>
      </c>
      <c r="I10" s="21" t="s">
        <v>88</v>
      </c>
      <c r="J10" s="21" t="s">
        <v>89</v>
      </c>
      <c r="K10" s="21" t="s">
        <v>76</v>
      </c>
      <c r="L10" s="21" t="s">
        <v>122</v>
      </c>
      <c r="M10" s="21" t="s">
        <v>126</v>
      </c>
      <c r="N10" s="21" t="s">
        <v>79</v>
      </c>
      <c r="O10" s="21" t="s">
        <v>80</v>
      </c>
      <c r="P10" s="21" t="s">
        <v>127</v>
      </c>
      <c r="Q10" s="23" t="n">
        <v>9900</v>
      </c>
      <c r="R10" s="24" t="n">
        <v>92.3</v>
      </c>
      <c r="S10" s="24" t="n">
        <v>92.3</v>
      </c>
      <c r="T10" s="21" t="s">
        <v>81</v>
      </c>
      <c r="U10" s="21" t="s">
        <v>92</v>
      </c>
      <c r="V10" s="21" t="s">
        <v>81</v>
      </c>
      <c r="W10" s="22" t="n">
        <v>47115</v>
      </c>
      <c r="X10" s="21" t="s">
        <v>93</v>
      </c>
      <c r="Y10" s="23" t="n">
        <v>862</v>
      </c>
      <c r="Z10" s="21" t="s">
        <v>128</v>
      </c>
      <c r="AA10" s="21" t="s">
        <v>84</v>
      </c>
      <c r="AB10" s="15" t="s">
        <v>8</v>
      </c>
      <c r="AC10" s="23" t="n">
        <v>1</v>
      </c>
      <c r="AD10" s="23" t="n">
        <v>1</v>
      </c>
      <c r="AE10" s="23" t="n">
        <v>15</v>
      </c>
    </row>
    <row r="11" customFormat="false" ht="21.75" hidden="false" customHeight="true" outlineLevel="0" collapsed="false">
      <c r="A11" s="25" t="n">
        <v>300177</v>
      </c>
      <c r="B11" s="26" t="s">
        <v>129</v>
      </c>
      <c r="C11" s="26" t="s">
        <v>72</v>
      </c>
      <c r="D11" s="26" t="s">
        <v>108</v>
      </c>
      <c r="E11" s="27" t="n">
        <v>30435</v>
      </c>
      <c r="F11" s="28" t="n">
        <v>43</v>
      </c>
      <c r="G11" s="27" t="n">
        <v>45120</v>
      </c>
      <c r="H11" s="29" t="n">
        <v>3.1</v>
      </c>
      <c r="I11" s="26" t="s">
        <v>88</v>
      </c>
      <c r="J11" s="26" t="s">
        <v>89</v>
      </c>
      <c r="K11" s="26" t="s">
        <v>76</v>
      </c>
      <c r="L11" s="26" t="s">
        <v>90</v>
      </c>
      <c r="M11" s="26" t="s">
        <v>91</v>
      </c>
      <c r="N11" s="26" t="s">
        <v>91</v>
      </c>
      <c r="O11" s="26" t="s">
        <v>80</v>
      </c>
      <c r="P11" s="26" t="s">
        <v>3</v>
      </c>
      <c r="Q11" s="28" t="n">
        <v>0</v>
      </c>
      <c r="R11" s="29" t="n">
        <v>84.6</v>
      </c>
      <c r="S11" s="29" t="n">
        <v>84.6</v>
      </c>
      <c r="T11" s="26" t="s">
        <v>81</v>
      </c>
      <c r="U11" s="26" t="s">
        <v>92</v>
      </c>
      <c r="V11" s="26" t="s">
        <v>81</v>
      </c>
      <c r="W11" s="27" t="n">
        <v>46412</v>
      </c>
      <c r="X11" s="26" t="s">
        <v>93</v>
      </c>
      <c r="Y11" s="28" t="n">
        <v>159</v>
      </c>
      <c r="Z11" s="26" t="s">
        <v>94</v>
      </c>
      <c r="AA11" s="26" t="s">
        <v>84</v>
      </c>
      <c r="AB11" s="30" t="s">
        <v>130</v>
      </c>
      <c r="AC11" s="28" t="n">
        <v>1</v>
      </c>
      <c r="AD11" s="28" t="n">
        <v>1</v>
      </c>
      <c r="AE11" s="28" t="n">
        <v>10</v>
      </c>
    </row>
    <row r="12" customFormat="false" ht="21.75" hidden="false" customHeight="true" outlineLevel="0" collapsed="false">
      <c r="A12" s="20" t="n">
        <v>300186</v>
      </c>
      <c r="B12" s="21" t="s">
        <v>103</v>
      </c>
      <c r="C12" s="21" t="s">
        <v>96</v>
      </c>
      <c r="D12" s="21" t="s">
        <v>104</v>
      </c>
      <c r="E12" s="22" t="n">
        <v>34247</v>
      </c>
      <c r="F12" s="23" t="n">
        <v>32</v>
      </c>
      <c r="G12" s="22" t="n">
        <v>44631</v>
      </c>
      <c r="H12" s="24" t="n">
        <v>4.4</v>
      </c>
      <c r="I12" s="21" t="s">
        <v>88</v>
      </c>
      <c r="J12" s="21" t="s">
        <v>89</v>
      </c>
      <c r="K12" s="21" t="s">
        <v>76</v>
      </c>
      <c r="L12" s="21" t="s">
        <v>122</v>
      </c>
      <c r="M12" s="21" t="s">
        <v>131</v>
      </c>
      <c r="N12" s="21" t="s">
        <v>124</v>
      </c>
      <c r="O12" s="21" t="s">
        <v>80</v>
      </c>
      <c r="P12" s="21" t="s">
        <v>3</v>
      </c>
      <c r="Q12" s="23" t="n">
        <v>11600</v>
      </c>
      <c r="R12" s="24" t="n">
        <v>75.7</v>
      </c>
      <c r="S12" s="24" t="n">
        <v>75.7</v>
      </c>
      <c r="T12" s="21" t="s">
        <v>81</v>
      </c>
      <c r="U12" s="21" t="s">
        <v>82</v>
      </c>
      <c r="V12" s="21" t="s">
        <v>81</v>
      </c>
      <c r="W12" s="22" t="n">
        <v>46924</v>
      </c>
      <c r="X12" s="21" t="s">
        <v>93</v>
      </c>
      <c r="Y12" s="23" t="n">
        <v>671</v>
      </c>
      <c r="Z12" s="21" t="s">
        <v>131</v>
      </c>
      <c r="AA12" s="21" t="s">
        <v>84</v>
      </c>
      <c r="AB12" s="15" t="s">
        <v>85</v>
      </c>
      <c r="AC12" s="23" t="n">
        <v>0</v>
      </c>
      <c r="AD12" s="23" t="n">
        <v>1</v>
      </c>
      <c r="AE12" s="23" t="n">
        <v>38</v>
      </c>
    </row>
    <row r="13" customFormat="false" ht="21.75" hidden="false" customHeight="true" outlineLevel="0" collapsed="false">
      <c r="A13" s="25" t="n">
        <v>300195</v>
      </c>
      <c r="B13" s="26" t="s">
        <v>132</v>
      </c>
      <c r="C13" s="26" t="s">
        <v>72</v>
      </c>
      <c r="D13" s="26" t="s">
        <v>108</v>
      </c>
      <c r="E13" s="27" t="n">
        <v>34221</v>
      </c>
      <c r="F13" s="28" t="n">
        <v>32</v>
      </c>
      <c r="G13" s="27" t="n">
        <v>42745</v>
      </c>
      <c r="H13" s="29" t="n">
        <v>9.6</v>
      </c>
      <c r="I13" s="26" t="s">
        <v>133</v>
      </c>
      <c r="J13" s="26" t="s">
        <v>134</v>
      </c>
      <c r="K13" s="26" t="s">
        <v>135</v>
      </c>
      <c r="L13" s="26" t="s">
        <v>90</v>
      </c>
      <c r="M13" s="26" t="s">
        <v>115</v>
      </c>
      <c r="N13" s="26" t="s">
        <v>115</v>
      </c>
      <c r="O13" s="26" t="s">
        <v>80</v>
      </c>
      <c r="P13" s="26" t="s">
        <v>3</v>
      </c>
      <c r="Q13" s="28" t="n">
        <v>12950</v>
      </c>
      <c r="R13" s="29" t="n">
        <v>70.7</v>
      </c>
      <c r="S13" s="29" t="n">
        <v>70.7</v>
      </c>
      <c r="T13" s="26" t="s">
        <v>81</v>
      </c>
      <c r="U13" s="26" t="s">
        <v>116</v>
      </c>
      <c r="V13" s="26" t="s">
        <v>81</v>
      </c>
      <c r="W13" s="27" t="n">
        <v>46418</v>
      </c>
      <c r="X13" s="26" t="s">
        <v>93</v>
      </c>
      <c r="Y13" s="28" t="n">
        <v>165</v>
      </c>
      <c r="Z13" s="26" t="s">
        <v>136</v>
      </c>
      <c r="AA13" s="26" t="s">
        <v>84</v>
      </c>
      <c r="AB13" s="30" t="s">
        <v>85</v>
      </c>
      <c r="AC13" s="28" t="n">
        <v>0</v>
      </c>
      <c r="AD13" s="28" t="n">
        <v>1</v>
      </c>
      <c r="AE13" s="28" t="n">
        <v>29</v>
      </c>
    </row>
    <row r="14" customFormat="false" ht="21.75" hidden="false" customHeight="true" outlineLevel="0" collapsed="false">
      <c r="A14" s="20" t="n">
        <v>300204</v>
      </c>
      <c r="B14" s="21" t="s">
        <v>86</v>
      </c>
      <c r="C14" s="21" t="s">
        <v>72</v>
      </c>
      <c r="D14" s="21" t="s">
        <v>87</v>
      </c>
      <c r="E14" s="22" t="n">
        <v>28767</v>
      </c>
      <c r="F14" s="23" t="n">
        <v>47</v>
      </c>
      <c r="G14" s="22" t="n">
        <v>37673</v>
      </c>
      <c r="H14" s="24" t="n">
        <v>23.5</v>
      </c>
      <c r="I14" s="21" t="s">
        <v>137</v>
      </c>
      <c r="J14" s="21" t="s">
        <v>89</v>
      </c>
      <c r="K14" s="21" t="s">
        <v>76</v>
      </c>
      <c r="L14" s="21" t="s">
        <v>122</v>
      </c>
      <c r="M14" s="21" t="s">
        <v>138</v>
      </c>
      <c r="N14" s="21" t="s">
        <v>99</v>
      </c>
      <c r="O14" s="21" t="s">
        <v>80</v>
      </c>
      <c r="P14" s="21" t="s">
        <v>3</v>
      </c>
      <c r="Q14" s="23" t="n">
        <v>6500</v>
      </c>
      <c r="R14" s="24" t="n">
        <v>94.8</v>
      </c>
      <c r="S14" s="24" t="n">
        <v>94.8</v>
      </c>
      <c r="T14" s="21" t="s">
        <v>81</v>
      </c>
      <c r="U14" s="21" t="s">
        <v>116</v>
      </c>
      <c r="V14" s="21" t="s">
        <v>101</v>
      </c>
      <c r="W14" s="22"/>
      <c r="X14" s="21" t="s">
        <v>101</v>
      </c>
      <c r="Y14" s="23"/>
      <c r="Z14" s="21" t="s">
        <v>139</v>
      </c>
      <c r="AA14" s="21" t="s">
        <v>140</v>
      </c>
      <c r="AB14" s="15" t="s">
        <v>9</v>
      </c>
      <c r="AC14" s="23" t="n">
        <v>1</v>
      </c>
      <c r="AD14" s="23" t="n">
        <v>1</v>
      </c>
      <c r="AE14" s="23" t="n">
        <v>49</v>
      </c>
    </row>
    <row r="15" customFormat="false" ht="21.75" hidden="false" customHeight="true" outlineLevel="0" collapsed="false">
      <c r="A15" s="25" t="n">
        <v>300214</v>
      </c>
      <c r="B15" s="26" t="s">
        <v>141</v>
      </c>
      <c r="C15" s="26" t="s">
        <v>96</v>
      </c>
      <c r="D15" s="26" t="s">
        <v>108</v>
      </c>
      <c r="E15" s="27" t="n">
        <v>28344</v>
      </c>
      <c r="F15" s="28" t="n">
        <v>49</v>
      </c>
      <c r="G15" s="27" t="n">
        <v>39630</v>
      </c>
      <c r="H15" s="29" t="n">
        <v>18.1</v>
      </c>
      <c r="I15" s="26" t="s">
        <v>74</v>
      </c>
      <c r="J15" s="26" t="s">
        <v>75</v>
      </c>
      <c r="K15" s="26" t="s">
        <v>76</v>
      </c>
      <c r="L15" s="26" t="s">
        <v>122</v>
      </c>
      <c r="M15" s="26" t="s">
        <v>120</v>
      </c>
      <c r="N15" s="26" t="s">
        <v>99</v>
      </c>
      <c r="O15" s="26" t="s">
        <v>80</v>
      </c>
      <c r="P15" s="26" t="s">
        <v>3</v>
      </c>
      <c r="Q15" s="28" t="n">
        <v>4650</v>
      </c>
      <c r="R15" s="29" t="n">
        <v>98</v>
      </c>
      <c r="S15" s="29" t="n">
        <v>98</v>
      </c>
      <c r="T15" s="26" t="s">
        <v>81</v>
      </c>
      <c r="U15" s="26" t="s">
        <v>82</v>
      </c>
      <c r="V15" s="26" t="s">
        <v>101</v>
      </c>
      <c r="W15" s="27"/>
      <c r="X15" s="26" t="s">
        <v>101</v>
      </c>
      <c r="Y15" s="28"/>
      <c r="Z15" s="26" t="s">
        <v>120</v>
      </c>
      <c r="AA15" s="26" t="s">
        <v>84</v>
      </c>
      <c r="AB15" s="30" t="s">
        <v>85</v>
      </c>
      <c r="AC15" s="28" t="n">
        <v>0</v>
      </c>
      <c r="AD15" s="28" t="n">
        <v>1</v>
      </c>
      <c r="AE15" s="28" t="n">
        <v>50</v>
      </c>
    </row>
    <row r="16" customFormat="false" ht="21.75" hidden="false" customHeight="true" outlineLevel="0" collapsed="false">
      <c r="A16" s="20" t="n">
        <v>300217</v>
      </c>
      <c r="B16" s="21" t="s">
        <v>142</v>
      </c>
      <c r="C16" s="21" t="s">
        <v>96</v>
      </c>
      <c r="D16" s="21" t="s">
        <v>108</v>
      </c>
      <c r="E16" s="22" t="n">
        <v>33222</v>
      </c>
      <c r="F16" s="23" t="n">
        <v>35</v>
      </c>
      <c r="G16" s="22" t="n">
        <v>44773</v>
      </c>
      <c r="H16" s="24" t="n">
        <v>4.1</v>
      </c>
      <c r="I16" s="21" t="s">
        <v>88</v>
      </c>
      <c r="J16" s="21" t="s">
        <v>89</v>
      </c>
      <c r="K16" s="21" t="s">
        <v>76</v>
      </c>
      <c r="L16" s="21" t="s">
        <v>77</v>
      </c>
      <c r="M16" s="21" t="s">
        <v>143</v>
      </c>
      <c r="N16" s="21" t="s">
        <v>143</v>
      </c>
      <c r="O16" s="21" t="s">
        <v>100</v>
      </c>
      <c r="P16" s="21" t="s">
        <v>3</v>
      </c>
      <c r="Q16" s="23" t="n">
        <v>15800</v>
      </c>
      <c r="R16" s="24"/>
      <c r="S16" s="24" t="n">
        <v>-3</v>
      </c>
      <c r="T16" s="21" t="s">
        <v>110</v>
      </c>
      <c r="U16" s="21" t="s">
        <v>82</v>
      </c>
      <c r="V16" s="21" t="s">
        <v>81</v>
      </c>
      <c r="W16" s="22" t="n">
        <v>46197</v>
      </c>
      <c r="X16" s="21" t="s">
        <v>83</v>
      </c>
      <c r="Y16" s="23" t="n">
        <v>-56</v>
      </c>
      <c r="Z16" s="21" t="s">
        <v>138</v>
      </c>
      <c r="AA16" s="21" t="s">
        <v>140</v>
      </c>
      <c r="AB16" s="15" t="s">
        <v>144</v>
      </c>
      <c r="AC16" s="23" t="n">
        <v>2</v>
      </c>
      <c r="AD16" s="23" t="n">
        <v>1</v>
      </c>
      <c r="AE16" s="23" t="n">
        <v>19</v>
      </c>
    </row>
    <row r="17" customFormat="false" ht="21.75" hidden="false" customHeight="true" outlineLevel="0" collapsed="false">
      <c r="A17" s="25" t="n">
        <v>300220</v>
      </c>
      <c r="B17" s="26" t="s">
        <v>145</v>
      </c>
      <c r="C17" s="26" t="s">
        <v>96</v>
      </c>
      <c r="D17" s="26" t="s">
        <v>108</v>
      </c>
      <c r="E17" s="27" t="n">
        <v>32546</v>
      </c>
      <c r="F17" s="28" t="n">
        <v>37</v>
      </c>
      <c r="G17" s="27" t="n">
        <v>42600</v>
      </c>
      <c r="H17" s="29" t="n">
        <v>10</v>
      </c>
      <c r="I17" s="26" t="s">
        <v>74</v>
      </c>
      <c r="J17" s="26" t="s">
        <v>75</v>
      </c>
      <c r="K17" s="26" t="s">
        <v>76</v>
      </c>
      <c r="L17" s="26" t="s">
        <v>77</v>
      </c>
      <c r="M17" s="26" t="s">
        <v>146</v>
      </c>
      <c r="N17" s="26" t="s">
        <v>79</v>
      </c>
      <c r="O17" s="26" t="s">
        <v>147</v>
      </c>
      <c r="P17" s="26" t="s">
        <v>148</v>
      </c>
      <c r="Q17" s="28" t="n">
        <v>20600</v>
      </c>
      <c r="R17" s="29" t="n">
        <v>86.7</v>
      </c>
      <c r="S17" s="29" t="n">
        <v>86.7</v>
      </c>
      <c r="T17" s="26" t="s">
        <v>81</v>
      </c>
      <c r="U17" s="26" t="s">
        <v>116</v>
      </c>
      <c r="V17" s="26" t="s">
        <v>81</v>
      </c>
      <c r="W17" s="27" t="n">
        <v>46543</v>
      </c>
      <c r="X17" s="26" t="s">
        <v>93</v>
      </c>
      <c r="Y17" s="28" t="n">
        <v>290</v>
      </c>
      <c r="Z17" s="26" t="s">
        <v>146</v>
      </c>
      <c r="AA17" s="26" t="s">
        <v>84</v>
      </c>
      <c r="AB17" s="30" t="s">
        <v>85</v>
      </c>
      <c r="AC17" s="28" t="n">
        <v>0</v>
      </c>
      <c r="AD17" s="28" t="n">
        <v>1</v>
      </c>
      <c r="AE17" s="28" t="n">
        <v>25</v>
      </c>
    </row>
    <row r="18" customFormat="false" ht="21.75" hidden="false" customHeight="true" outlineLevel="0" collapsed="false">
      <c r="A18" s="20" t="n">
        <v>300227</v>
      </c>
      <c r="B18" s="21" t="s">
        <v>149</v>
      </c>
      <c r="C18" s="21" t="s">
        <v>96</v>
      </c>
      <c r="D18" s="21" t="s">
        <v>108</v>
      </c>
      <c r="E18" s="22" t="n">
        <v>35681</v>
      </c>
      <c r="F18" s="23" t="n">
        <v>28</v>
      </c>
      <c r="G18" s="22" t="n">
        <v>44496</v>
      </c>
      <c r="H18" s="24" t="n">
        <v>4.8</v>
      </c>
      <c r="I18" s="21" t="s">
        <v>74</v>
      </c>
      <c r="J18" s="21" t="s">
        <v>75</v>
      </c>
      <c r="K18" s="21" t="s">
        <v>76</v>
      </c>
      <c r="L18" s="21" t="s">
        <v>122</v>
      </c>
      <c r="M18" s="21" t="s">
        <v>131</v>
      </c>
      <c r="N18" s="21" t="s">
        <v>124</v>
      </c>
      <c r="O18" s="21" t="s">
        <v>80</v>
      </c>
      <c r="P18" s="21" t="s">
        <v>127</v>
      </c>
      <c r="Q18" s="23" t="n">
        <v>7450</v>
      </c>
      <c r="R18" s="24" t="n">
        <v>89.3</v>
      </c>
      <c r="S18" s="24" t="n">
        <v>89.3</v>
      </c>
      <c r="T18" s="21" t="s">
        <v>81</v>
      </c>
      <c r="U18" s="21" t="s">
        <v>92</v>
      </c>
      <c r="V18" s="21" t="s">
        <v>81</v>
      </c>
      <c r="W18" s="22" t="n">
        <v>47020</v>
      </c>
      <c r="X18" s="21" t="s">
        <v>93</v>
      </c>
      <c r="Y18" s="23" t="n">
        <v>767</v>
      </c>
      <c r="Z18" s="21" t="s">
        <v>150</v>
      </c>
      <c r="AA18" s="21" t="s">
        <v>140</v>
      </c>
      <c r="AB18" s="15" t="s">
        <v>151</v>
      </c>
      <c r="AC18" s="23" t="n">
        <v>2</v>
      </c>
      <c r="AD18" s="23" t="n">
        <v>1</v>
      </c>
      <c r="AE18" s="23" t="n">
        <v>53</v>
      </c>
    </row>
    <row r="19" customFormat="false" ht="21.75" hidden="false" customHeight="true" outlineLevel="0" collapsed="false">
      <c r="A19" s="25" t="n">
        <v>300235</v>
      </c>
      <c r="B19" s="26" t="s">
        <v>152</v>
      </c>
      <c r="C19" s="26" t="s">
        <v>72</v>
      </c>
      <c r="D19" s="26" t="s">
        <v>153</v>
      </c>
      <c r="E19" s="27" t="n">
        <v>25936</v>
      </c>
      <c r="F19" s="28" t="n">
        <v>55</v>
      </c>
      <c r="G19" s="27" t="n">
        <v>43025</v>
      </c>
      <c r="H19" s="29" t="n">
        <v>8.8</v>
      </c>
      <c r="I19" s="26" t="s">
        <v>88</v>
      </c>
      <c r="J19" s="26" t="s">
        <v>89</v>
      </c>
      <c r="K19" s="26" t="s">
        <v>76</v>
      </c>
      <c r="L19" s="26" t="s">
        <v>122</v>
      </c>
      <c r="M19" s="26" t="s">
        <v>138</v>
      </c>
      <c r="N19" s="26" t="s">
        <v>99</v>
      </c>
      <c r="O19" s="26" t="s">
        <v>147</v>
      </c>
      <c r="P19" s="26" t="s">
        <v>3</v>
      </c>
      <c r="Q19" s="28" t="n">
        <v>4000</v>
      </c>
      <c r="R19" s="29" t="n">
        <v>72.1</v>
      </c>
      <c r="S19" s="29" t="n">
        <v>72.1</v>
      </c>
      <c r="T19" s="26" t="s">
        <v>81</v>
      </c>
      <c r="U19" s="26" t="s">
        <v>82</v>
      </c>
      <c r="V19" s="26" t="s">
        <v>101</v>
      </c>
      <c r="W19" s="27"/>
      <c r="X19" s="26" t="s">
        <v>101</v>
      </c>
      <c r="Y19" s="28"/>
      <c r="Z19" s="26" t="s">
        <v>138</v>
      </c>
      <c r="AA19" s="26" t="s">
        <v>84</v>
      </c>
      <c r="AB19" s="30" t="s">
        <v>85</v>
      </c>
      <c r="AC19" s="28" t="n">
        <v>0</v>
      </c>
      <c r="AD19" s="28" t="n">
        <v>1</v>
      </c>
      <c r="AE19" s="28" t="n">
        <v>51</v>
      </c>
    </row>
    <row r="20" customFormat="false" ht="21.75" hidden="false" customHeight="true" outlineLevel="0" collapsed="false">
      <c r="A20" s="20" t="n">
        <v>300241</v>
      </c>
      <c r="B20" s="21" t="s">
        <v>154</v>
      </c>
      <c r="C20" s="21" t="s">
        <v>96</v>
      </c>
      <c r="D20" s="21" t="s">
        <v>155</v>
      </c>
      <c r="E20" s="22" t="n">
        <v>27038</v>
      </c>
      <c r="F20" s="23" t="n">
        <v>52</v>
      </c>
      <c r="G20" s="22" t="n">
        <v>40304</v>
      </c>
      <c r="H20" s="24" t="n">
        <v>16.3</v>
      </c>
      <c r="I20" s="21" t="s">
        <v>74</v>
      </c>
      <c r="J20" s="21" t="s">
        <v>75</v>
      </c>
      <c r="K20" s="21" t="s">
        <v>76</v>
      </c>
      <c r="L20" s="21" t="s">
        <v>90</v>
      </c>
      <c r="M20" s="21" t="s">
        <v>156</v>
      </c>
      <c r="N20" s="21" t="s">
        <v>91</v>
      </c>
      <c r="O20" s="21" t="s">
        <v>80</v>
      </c>
      <c r="P20" s="21" t="s">
        <v>148</v>
      </c>
      <c r="Q20" s="23" t="n">
        <v>8550</v>
      </c>
      <c r="R20" s="24" t="n">
        <v>80.5</v>
      </c>
      <c r="S20" s="24" t="n">
        <v>80.5</v>
      </c>
      <c r="T20" s="21" t="s">
        <v>81</v>
      </c>
      <c r="U20" s="21" t="s">
        <v>82</v>
      </c>
      <c r="V20" s="21" t="s">
        <v>81</v>
      </c>
      <c r="W20" s="22" t="n">
        <v>46711</v>
      </c>
      <c r="X20" s="21" t="s">
        <v>93</v>
      </c>
      <c r="Y20" s="23" t="n">
        <v>458</v>
      </c>
      <c r="Z20" s="21" t="s">
        <v>157</v>
      </c>
      <c r="AA20" s="21" t="s">
        <v>84</v>
      </c>
      <c r="AB20" s="15" t="s">
        <v>85</v>
      </c>
      <c r="AC20" s="23" t="n">
        <v>0</v>
      </c>
      <c r="AD20" s="23" t="n">
        <v>1</v>
      </c>
      <c r="AE20" s="23" t="n">
        <v>46</v>
      </c>
    </row>
    <row r="21" customFormat="false" ht="21.75" hidden="false" customHeight="true" outlineLevel="0" collapsed="false">
      <c r="A21" s="25" t="n">
        <v>300248</v>
      </c>
      <c r="B21" s="26" t="s">
        <v>158</v>
      </c>
      <c r="C21" s="26" t="s">
        <v>96</v>
      </c>
      <c r="D21" s="26" t="s">
        <v>108</v>
      </c>
      <c r="E21" s="27" t="n">
        <v>36503</v>
      </c>
      <c r="F21" s="28" t="n">
        <v>26</v>
      </c>
      <c r="G21" s="27" t="n">
        <v>45730</v>
      </c>
      <c r="H21" s="29" t="n">
        <v>1.4</v>
      </c>
      <c r="I21" s="26" t="s">
        <v>88</v>
      </c>
      <c r="J21" s="26" t="s">
        <v>89</v>
      </c>
      <c r="K21" s="26" t="s">
        <v>76</v>
      </c>
      <c r="L21" s="26" t="s">
        <v>159</v>
      </c>
      <c r="M21" s="26" t="s">
        <v>160</v>
      </c>
      <c r="N21" s="26" t="s">
        <v>161</v>
      </c>
      <c r="O21" s="26" t="s">
        <v>80</v>
      </c>
      <c r="P21" s="26" t="s">
        <v>3</v>
      </c>
      <c r="Q21" s="28" t="n">
        <v>8600</v>
      </c>
      <c r="R21" s="29" t="n">
        <v>83.3</v>
      </c>
      <c r="S21" s="29" t="n">
        <v>83.3</v>
      </c>
      <c r="T21" s="26" t="s">
        <v>81</v>
      </c>
      <c r="U21" s="26" t="s">
        <v>92</v>
      </c>
      <c r="V21" s="26" t="s">
        <v>101</v>
      </c>
      <c r="W21" s="27"/>
      <c r="X21" s="26" t="s">
        <v>101</v>
      </c>
      <c r="Y21" s="28"/>
      <c r="Z21" s="26" t="s">
        <v>160</v>
      </c>
      <c r="AA21" s="26" t="s">
        <v>84</v>
      </c>
      <c r="AB21" s="30" t="s">
        <v>85</v>
      </c>
      <c r="AC21" s="28" t="n">
        <v>0</v>
      </c>
      <c r="AD21" s="28" t="n">
        <v>1</v>
      </c>
      <c r="AE21" s="28" t="n">
        <v>6</v>
      </c>
    </row>
    <row r="22" customFormat="false" ht="21.75" hidden="false" customHeight="true" outlineLevel="0" collapsed="false">
      <c r="A22" s="20" t="n">
        <v>300252</v>
      </c>
      <c r="B22" s="21" t="s">
        <v>103</v>
      </c>
      <c r="C22" s="21" t="s">
        <v>96</v>
      </c>
      <c r="D22" s="21" t="s">
        <v>104</v>
      </c>
      <c r="E22" s="22" t="n">
        <v>24352</v>
      </c>
      <c r="F22" s="23" t="n">
        <v>59</v>
      </c>
      <c r="G22" s="22" t="n">
        <v>40570</v>
      </c>
      <c r="H22" s="24" t="n">
        <v>15.6</v>
      </c>
      <c r="I22" s="21" t="s">
        <v>137</v>
      </c>
      <c r="J22" s="21" t="s">
        <v>89</v>
      </c>
      <c r="K22" s="21" t="s">
        <v>76</v>
      </c>
      <c r="L22" s="21" t="s">
        <v>90</v>
      </c>
      <c r="M22" s="21" t="s">
        <v>115</v>
      </c>
      <c r="N22" s="21" t="s">
        <v>115</v>
      </c>
      <c r="O22" s="21" t="s">
        <v>100</v>
      </c>
      <c r="P22" s="21" t="s">
        <v>3</v>
      </c>
      <c r="Q22" s="23" t="n">
        <v>13950</v>
      </c>
      <c r="R22" s="24" t="n">
        <v>80.6</v>
      </c>
      <c r="S22" s="24" t="n">
        <v>80.6</v>
      </c>
      <c r="T22" s="21" t="s">
        <v>81</v>
      </c>
      <c r="U22" s="21" t="s">
        <v>92</v>
      </c>
      <c r="V22" s="21" t="s">
        <v>81</v>
      </c>
      <c r="W22" s="22" t="n">
        <v>45688</v>
      </c>
      <c r="X22" s="21" t="s">
        <v>83</v>
      </c>
      <c r="Y22" s="23" t="n">
        <v>-565</v>
      </c>
      <c r="Z22" s="21" t="s">
        <v>162</v>
      </c>
      <c r="AA22" s="21" t="s">
        <v>84</v>
      </c>
      <c r="AB22" s="15" t="s">
        <v>85</v>
      </c>
      <c r="AC22" s="23" t="n">
        <v>0</v>
      </c>
      <c r="AD22" s="23" t="n">
        <v>1</v>
      </c>
      <c r="AE22" s="23" t="n">
        <v>37</v>
      </c>
    </row>
    <row r="23" customFormat="false" ht="21.75" hidden="false" customHeight="true" outlineLevel="0" collapsed="false">
      <c r="A23" s="25" t="n">
        <v>300257</v>
      </c>
      <c r="B23" s="26" t="s">
        <v>163</v>
      </c>
      <c r="C23" s="26" t="s">
        <v>96</v>
      </c>
      <c r="D23" s="26" t="s">
        <v>108</v>
      </c>
      <c r="E23" s="27" t="n">
        <v>30545</v>
      </c>
      <c r="F23" s="28" t="n">
        <v>43</v>
      </c>
      <c r="G23" s="27" t="n">
        <v>43658</v>
      </c>
      <c r="H23" s="29" t="n">
        <v>7.1</v>
      </c>
      <c r="I23" s="26" t="s">
        <v>137</v>
      </c>
      <c r="J23" s="26" t="s">
        <v>89</v>
      </c>
      <c r="K23" s="26" t="s">
        <v>76</v>
      </c>
      <c r="L23" s="26" t="s">
        <v>77</v>
      </c>
      <c r="M23" s="26" t="s">
        <v>164</v>
      </c>
      <c r="N23" s="26" t="s">
        <v>143</v>
      </c>
      <c r="O23" s="26" t="s">
        <v>80</v>
      </c>
      <c r="P23" s="26" t="s">
        <v>3</v>
      </c>
      <c r="Q23" s="28" t="n">
        <v>31350</v>
      </c>
      <c r="R23" s="29" t="n">
        <v>78</v>
      </c>
      <c r="S23" s="29" t="n">
        <v>78</v>
      </c>
      <c r="T23" s="26" t="s">
        <v>81</v>
      </c>
      <c r="U23" s="26" t="s">
        <v>92</v>
      </c>
      <c r="V23" s="26" t="s">
        <v>81</v>
      </c>
      <c r="W23" s="27" t="n">
        <v>46061</v>
      </c>
      <c r="X23" s="26" t="s">
        <v>83</v>
      </c>
      <c r="Y23" s="28" t="n">
        <v>-192</v>
      </c>
      <c r="Z23" s="26" t="s">
        <v>165</v>
      </c>
      <c r="AA23" s="26" t="s">
        <v>84</v>
      </c>
      <c r="AB23" s="30" t="s">
        <v>85</v>
      </c>
      <c r="AC23" s="28" t="n">
        <v>0</v>
      </c>
      <c r="AD23" s="28" t="n">
        <v>1</v>
      </c>
      <c r="AE23" s="28" t="n">
        <v>2</v>
      </c>
    </row>
    <row r="24" customFormat="false" ht="21.75" hidden="false" customHeight="true" outlineLevel="0" collapsed="false">
      <c r="A24" s="20" t="n">
        <v>300267</v>
      </c>
      <c r="B24" s="21" t="s">
        <v>166</v>
      </c>
      <c r="C24" s="21" t="s">
        <v>72</v>
      </c>
      <c r="D24" s="21" t="s">
        <v>108</v>
      </c>
      <c r="E24" s="22" t="n">
        <v>35723</v>
      </c>
      <c r="F24" s="23" t="n">
        <v>28</v>
      </c>
      <c r="G24" s="22" t="n">
        <v>45297</v>
      </c>
      <c r="H24" s="24" t="n">
        <v>2.6</v>
      </c>
      <c r="I24" s="21" t="s">
        <v>88</v>
      </c>
      <c r="J24" s="21" t="s">
        <v>89</v>
      </c>
      <c r="K24" s="21" t="s">
        <v>76</v>
      </c>
      <c r="L24" s="21" t="s">
        <v>77</v>
      </c>
      <c r="M24" s="21" t="s">
        <v>143</v>
      </c>
      <c r="N24" s="21" t="s">
        <v>143</v>
      </c>
      <c r="O24" s="21" t="s">
        <v>80</v>
      </c>
      <c r="P24" s="21" t="s">
        <v>127</v>
      </c>
      <c r="Q24" s="23" t="n">
        <v>18350</v>
      </c>
      <c r="R24" s="24" t="n">
        <v>88.4</v>
      </c>
      <c r="S24" s="24" t="n">
        <v>88.4</v>
      </c>
      <c r="T24" s="21" t="s">
        <v>81</v>
      </c>
      <c r="U24" s="21" t="s">
        <v>82</v>
      </c>
      <c r="V24" s="21" t="s">
        <v>81</v>
      </c>
      <c r="W24" s="22" t="n">
        <v>46464</v>
      </c>
      <c r="X24" s="21" t="s">
        <v>93</v>
      </c>
      <c r="Y24" s="23" t="n">
        <v>211</v>
      </c>
      <c r="Z24" s="21" t="s">
        <v>167</v>
      </c>
      <c r="AA24" s="21" t="s">
        <v>84</v>
      </c>
      <c r="AB24" s="15" t="s">
        <v>8</v>
      </c>
      <c r="AC24" s="23" t="n">
        <v>1</v>
      </c>
      <c r="AD24" s="23" t="n">
        <v>1</v>
      </c>
      <c r="AE24" s="23" t="n">
        <v>16</v>
      </c>
    </row>
    <row r="25" customFormat="false" ht="21.75" hidden="false" customHeight="true" outlineLevel="0" collapsed="false">
      <c r="A25" s="25" t="n">
        <v>300279</v>
      </c>
      <c r="B25" s="26" t="s">
        <v>168</v>
      </c>
      <c r="C25" s="26" t="s">
        <v>96</v>
      </c>
      <c r="D25" s="26" t="s">
        <v>169</v>
      </c>
      <c r="E25" s="27" t="n">
        <v>40606</v>
      </c>
      <c r="F25" s="28" t="n">
        <v>15</v>
      </c>
      <c r="G25" s="27" t="n">
        <v>41651</v>
      </c>
      <c r="H25" s="29" t="n">
        <v>12.6</v>
      </c>
      <c r="I25" s="26" t="s">
        <v>88</v>
      </c>
      <c r="J25" s="26" t="s">
        <v>89</v>
      </c>
      <c r="K25" s="26" t="s">
        <v>76</v>
      </c>
      <c r="L25" s="26" t="s">
        <v>90</v>
      </c>
      <c r="M25" s="26" t="s">
        <v>114</v>
      </c>
      <c r="N25" s="26" t="s">
        <v>115</v>
      </c>
      <c r="O25" s="26" t="s">
        <v>106</v>
      </c>
      <c r="P25" s="26" t="s">
        <v>3</v>
      </c>
      <c r="Q25" s="28" t="n">
        <v>9150</v>
      </c>
      <c r="R25" s="29" t="n">
        <v>73</v>
      </c>
      <c r="S25" s="29" t="n">
        <v>73</v>
      </c>
      <c r="T25" s="26" t="s">
        <v>81</v>
      </c>
      <c r="U25" s="26" t="s">
        <v>92</v>
      </c>
      <c r="V25" s="26" t="s">
        <v>81</v>
      </c>
      <c r="W25" s="27" t="n">
        <v>46275</v>
      </c>
      <c r="X25" s="26" t="s">
        <v>170</v>
      </c>
      <c r="Y25" s="28" t="n">
        <v>22</v>
      </c>
      <c r="Z25" s="26" t="s">
        <v>117</v>
      </c>
      <c r="AA25" s="26" t="s">
        <v>84</v>
      </c>
      <c r="AB25" s="30" t="s">
        <v>171</v>
      </c>
      <c r="AC25" s="28" t="n">
        <v>1</v>
      </c>
      <c r="AD25" s="28" t="n">
        <v>1</v>
      </c>
      <c r="AE25" s="28" t="n">
        <v>9</v>
      </c>
    </row>
    <row r="26" customFormat="false" ht="21.75" hidden="false" customHeight="true" outlineLevel="0" collapsed="false">
      <c r="A26" s="20" t="n">
        <v>300286</v>
      </c>
      <c r="B26" s="21" t="s">
        <v>172</v>
      </c>
      <c r="C26" s="21" t="s">
        <v>72</v>
      </c>
      <c r="D26" s="21" t="s">
        <v>108</v>
      </c>
      <c r="E26" s="22" t="n">
        <v>35264</v>
      </c>
      <c r="F26" s="23" t="n">
        <v>30</v>
      </c>
      <c r="G26" s="22" t="n">
        <v>44991</v>
      </c>
      <c r="H26" s="24" t="n">
        <v>3.5</v>
      </c>
      <c r="I26" s="21" t="s">
        <v>74</v>
      </c>
      <c r="J26" s="21" t="s">
        <v>75</v>
      </c>
      <c r="K26" s="21" t="s">
        <v>76</v>
      </c>
      <c r="L26" s="21" t="s">
        <v>159</v>
      </c>
      <c r="M26" s="21" t="s">
        <v>173</v>
      </c>
      <c r="N26" s="21" t="s">
        <v>161</v>
      </c>
      <c r="O26" s="21" t="s">
        <v>80</v>
      </c>
      <c r="P26" s="21" t="s">
        <v>3</v>
      </c>
      <c r="Q26" s="23" t="n">
        <v>14300</v>
      </c>
      <c r="R26" s="24" t="n">
        <v>92.7</v>
      </c>
      <c r="S26" s="24" t="n">
        <v>92.7</v>
      </c>
      <c r="T26" s="21" t="s">
        <v>81</v>
      </c>
      <c r="U26" s="21" t="s">
        <v>92</v>
      </c>
      <c r="V26" s="21" t="s">
        <v>101</v>
      </c>
      <c r="W26" s="22"/>
      <c r="X26" s="21" t="s">
        <v>101</v>
      </c>
      <c r="Y26" s="23"/>
      <c r="Z26" s="21" t="s">
        <v>173</v>
      </c>
      <c r="AA26" s="21" t="s">
        <v>84</v>
      </c>
      <c r="AB26" s="15" t="s">
        <v>85</v>
      </c>
      <c r="AC26" s="23" t="n">
        <v>0</v>
      </c>
      <c r="AD26" s="23" t="n">
        <v>1</v>
      </c>
      <c r="AE26" s="23" t="n">
        <v>45</v>
      </c>
    </row>
    <row r="27" customFormat="false" ht="21.75" hidden="false" customHeight="true" outlineLevel="0" collapsed="false">
      <c r="A27" s="25" t="n">
        <v>300294</v>
      </c>
      <c r="B27" s="26" t="s">
        <v>168</v>
      </c>
      <c r="C27" s="26" t="s">
        <v>96</v>
      </c>
      <c r="D27" s="26" t="s">
        <v>169</v>
      </c>
      <c r="E27" s="27" t="n">
        <v>33027</v>
      </c>
      <c r="F27" s="28" t="n">
        <v>36</v>
      </c>
      <c r="G27" s="27" t="n">
        <v>42352</v>
      </c>
      <c r="H27" s="29" t="n">
        <v>10.7</v>
      </c>
      <c r="I27" s="26" t="s">
        <v>74</v>
      </c>
      <c r="J27" s="26" t="s">
        <v>75</v>
      </c>
      <c r="K27" s="26" t="s">
        <v>76</v>
      </c>
      <c r="L27" s="26" t="s">
        <v>90</v>
      </c>
      <c r="M27" s="26" t="s">
        <v>91</v>
      </c>
      <c r="N27" s="26" t="s">
        <v>91</v>
      </c>
      <c r="O27" s="26" t="s">
        <v>106</v>
      </c>
      <c r="P27" s="26" t="s">
        <v>3</v>
      </c>
      <c r="Q27" s="28" t="n">
        <v>12150</v>
      </c>
      <c r="R27" s="29" t="n">
        <v>84.5</v>
      </c>
      <c r="S27" s="29" t="n">
        <v>84.5</v>
      </c>
      <c r="T27" s="26" t="s">
        <v>81</v>
      </c>
      <c r="U27" s="26" t="s">
        <v>116</v>
      </c>
      <c r="V27" s="26" t="s">
        <v>81</v>
      </c>
      <c r="W27" s="27" t="n">
        <v>46531</v>
      </c>
      <c r="X27" s="26" t="s">
        <v>93</v>
      </c>
      <c r="Y27" s="28" t="n">
        <v>278</v>
      </c>
      <c r="Z27" s="26" t="s">
        <v>94</v>
      </c>
      <c r="AA27" s="26" t="s">
        <v>84</v>
      </c>
      <c r="AB27" s="30" t="s">
        <v>85</v>
      </c>
      <c r="AC27" s="28" t="n">
        <v>0</v>
      </c>
      <c r="AD27" s="28" t="n">
        <v>1</v>
      </c>
      <c r="AE27" s="28" t="n">
        <v>54</v>
      </c>
    </row>
    <row r="28" customFormat="false" ht="21.75" hidden="false" customHeight="true" outlineLevel="0" collapsed="false">
      <c r="A28" s="20" t="n">
        <v>300304</v>
      </c>
      <c r="B28" s="21" t="s">
        <v>174</v>
      </c>
      <c r="C28" s="21" t="s">
        <v>96</v>
      </c>
      <c r="D28" s="21" t="s">
        <v>108</v>
      </c>
      <c r="E28" s="22" t="n">
        <v>35858</v>
      </c>
      <c r="F28" s="23" t="n">
        <v>28</v>
      </c>
      <c r="G28" s="22" t="n">
        <v>44711</v>
      </c>
      <c r="H28" s="24" t="n">
        <v>4.2</v>
      </c>
      <c r="I28" s="21" t="s">
        <v>137</v>
      </c>
      <c r="J28" s="21" t="s">
        <v>89</v>
      </c>
      <c r="K28" s="21" t="s">
        <v>76</v>
      </c>
      <c r="L28" s="21" t="s">
        <v>122</v>
      </c>
      <c r="M28" s="21" t="s">
        <v>131</v>
      </c>
      <c r="N28" s="21" t="s">
        <v>124</v>
      </c>
      <c r="O28" s="21" t="s">
        <v>80</v>
      </c>
      <c r="P28" s="21" t="s">
        <v>127</v>
      </c>
      <c r="Q28" s="23" t="n">
        <v>7900</v>
      </c>
      <c r="R28" s="24" t="n">
        <v>93.1</v>
      </c>
      <c r="S28" s="24" t="n">
        <v>93.1</v>
      </c>
      <c r="T28" s="21" t="s">
        <v>81</v>
      </c>
      <c r="U28" s="21" t="s">
        <v>92</v>
      </c>
      <c r="V28" s="21" t="s">
        <v>81</v>
      </c>
      <c r="W28" s="22" t="n">
        <v>45870</v>
      </c>
      <c r="X28" s="21" t="s">
        <v>83</v>
      </c>
      <c r="Y28" s="23" t="n">
        <v>-383</v>
      </c>
      <c r="Z28" s="21" t="s">
        <v>131</v>
      </c>
      <c r="AA28" s="21" t="s">
        <v>84</v>
      </c>
      <c r="AB28" s="15" t="s">
        <v>8</v>
      </c>
      <c r="AC28" s="23" t="n">
        <v>1</v>
      </c>
      <c r="AD28" s="23" t="n">
        <v>1</v>
      </c>
      <c r="AE28" s="23" t="n">
        <v>27</v>
      </c>
    </row>
    <row r="29" customFormat="false" ht="21.75" hidden="false" customHeight="true" outlineLevel="0" collapsed="false">
      <c r="A29" s="25" t="n">
        <v>300312</v>
      </c>
      <c r="B29" s="26" t="s">
        <v>175</v>
      </c>
      <c r="C29" s="26" t="s">
        <v>72</v>
      </c>
      <c r="D29" s="26" t="s">
        <v>108</v>
      </c>
      <c r="E29" s="27" t="n">
        <v>30883</v>
      </c>
      <c r="F29" s="28" t="n">
        <v>42</v>
      </c>
      <c r="G29" s="27" t="n">
        <v>41873</v>
      </c>
      <c r="H29" s="29" t="n">
        <v>12</v>
      </c>
      <c r="I29" s="26" t="s">
        <v>88</v>
      </c>
      <c r="J29" s="26" t="s">
        <v>89</v>
      </c>
      <c r="K29" s="26" t="s">
        <v>76</v>
      </c>
      <c r="L29" s="26" t="s">
        <v>90</v>
      </c>
      <c r="M29" s="26" t="s">
        <v>115</v>
      </c>
      <c r="N29" s="26" t="s">
        <v>115</v>
      </c>
      <c r="O29" s="26" t="s">
        <v>80</v>
      </c>
      <c r="P29" s="26" t="s">
        <v>127</v>
      </c>
      <c r="Q29" s="28" t="n">
        <v>11250</v>
      </c>
      <c r="R29" s="29" t="n">
        <v>83.5</v>
      </c>
      <c r="S29" s="29" t="n">
        <v>83.5</v>
      </c>
      <c r="T29" s="26" t="s">
        <v>81</v>
      </c>
      <c r="U29" s="26" t="s">
        <v>116</v>
      </c>
      <c r="V29" s="26" t="s">
        <v>81</v>
      </c>
      <c r="W29" s="27" t="n">
        <v>46117</v>
      </c>
      <c r="X29" s="26" t="s">
        <v>83</v>
      </c>
      <c r="Y29" s="28" t="n">
        <v>-136</v>
      </c>
      <c r="Z29" s="26" t="s">
        <v>162</v>
      </c>
      <c r="AA29" s="26" t="s">
        <v>84</v>
      </c>
      <c r="AB29" s="30" t="s">
        <v>8</v>
      </c>
      <c r="AC29" s="28" t="n">
        <v>1</v>
      </c>
      <c r="AD29" s="28" t="n">
        <v>1</v>
      </c>
      <c r="AE29" s="28" t="n">
        <v>52</v>
      </c>
    </row>
    <row r="30" customFormat="false" ht="21.75" hidden="false" customHeight="true" outlineLevel="0" collapsed="false">
      <c r="A30" s="20" t="n">
        <v>300317</v>
      </c>
      <c r="B30" s="21" t="s">
        <v>176</v>
      </c>
      <c r="C30" s="21" t="s">
        <v>72</v>
      </c>
      <c r="D30" s="21" t="s">
        <v>108</v>
      </c>
      <c r="E30" s="22" t="n">
        <v>28829</v>
      </c>
      <c r="F30" s="23" t="n">
        <v>47</v>
      </c>
      <c r="G30" s="22" t="n">
        <v>44323</v>
      </c>
      <c r="H30" s="24" t="n">
        <v>5.3</v>
      </c>
      <c r="I30" s="21" t="s">
        <v>88</v>
      </c>
      <c r="J30" s="21" t="s">
        <v>89</v>
      </c>
      <c r="K30" s="21" t="s">
        <v>76</v>
      </c>
      <c r="L30" s="21" t="s">
        <v>122</v>
      </c>
      <c r="M30" s="21" t="s">
        <v>98</v>
      </c>
      <c r="N30" s="21" t="s">
        <v>99</v>
      </c>
      <c r="O30" s="21" t="s">
        <v>80</v>
      </c>
      <c r="P30" s="21" t="s">
        <v>3</v>
      </c>
      <c r="Q30" s="23" t="n">
        <v>6700</v>
      </c>
      <c r="R30" s="24" t="n">
        <v>69.3</v>
      </c>
      <c r="S30" s="24" t="n">
        <v>69.3</v>
      </c>
      <c r="T30" s="21" t="s">
        <v>81</v>
      </c>
      <c r="U30" s="21" t="s">
        <v>116</v>
      </c>
      <c r="V30" s="21" t="s">
        <v>101</v>
      </c>
      <c r="W30" s="22"/>
      <c r="X30" s="21" t="s">
        <v>101</v>
      </c>
      <c r="Y30" s="23"/>
      <c r="Z30" s="21" t="s">
        <v>177</v>
      </c>
      <c r="AA30" s="21" t="s">
        <v>140</v>
      </c>
      <c r="AB30" s="15" t="s">
        <v>9</v>
      </c>
      <c r="AC30" s="23" t="n">
        <v>1</v>
      </c>
      <c r="AD30" s="23" t="n">
        <v>1</v>
      </c>
      <c r="AE30" s="23" t="n">
        <v>44</v>
      </c>
    </row>
    <row r="31" customFormat="false" ht="21.75" hidden="false" customHeight="true" outlineLevel="0" collapsed="false">
      <c r="A31" s="25" t="n">
        <v>300325</v>
      </c>
      <c r="B31" s="26" t="s">
        <v>178</v>
      </c>
      <c r="C31" s="26" t="s">
        <v>96</v>
      </c>
      <c r="D31" s="26" t="s">
        <v>108</v>
      </c>
      <c r="E31" s="27" t="n">
        <v>34476</v>
      </c>
      <c r="F31" s="28" t="n">
        <v>32</v>
      </c>
      <c r="G31" s="27" t="n">
        <v>44008</v>
      </c>
      <c r="H31" s="29" t="n">
        <v>6.1</v>
      </c>
      <c r="I31" s="26" t="s">
        <v>74</v>
      </c>
      <c r="J31" s="26" t="s">
        <v>75</v>
      </c>
      <c r="K31" s="26" t="s">
        <v>76</v>
      </c>
      <c r="L31" s="26" t="s">
        <v>77</v>
      </c>
      <c r="M31" s="26" t="s">
        <v>179</v>
      </c>
      <c r="N31" s="26" t="s">
        <v>180</v>
      </c>
      <c r="O31" s="26" t="s">
        <v>80</v>
      </c>
      <c r="P31" s="26" t="s">
        <v>3</v>
      </c>
      <c r="Q31" s="28" t="n">
        <v>43800</v>
      </c>
      <c r="R31" s="29" t="n">
        <v>77.2</v>
      </c>
      <c r="S31" s="29" t="n">
        <v>77.2</v>
      </c>
      <c r="T31" s="26" t="s">
        <v>81</v>
      </c>
      <c r="U31" s="26" t="s">
        <v>82</v>
      </c>
      <c r="V31" s="26" t="s">
        <v>110</v>
      </c>
      <c r="W31" s="27"/>
      <c r="X31" s="26" t="s">
        <v>111</v>
      </c>
      <c r="Y31" s="28"/>
      <c r="Z31" s="26" t="s">
        <v>179</v>
      </c>
      <c r="AA31" s="26" t="s">
        <v>84</v>
      </c>
      <c r="AB31" s="30" t="s">
        <v>112</v>
      </c>
      <c r="AC31" s="28" t="n">
        <v>1</v>
      </c>
      <c r="AD31" s="28" t="n">
        <v>1</v>
      </c>
      <c r="AE31" s="28" t="n">
        <v>7</v>
      </c>
    </row>
    <row r="32" customFormat="false" ht="21.75" hidden="false" customHeight="true" outlineLevel="0" collapsed="false">
      <c r="A32" s="20" t="n">
        <v>300335</v>
      </c>
      <c r="B32" s="21" t="s">
        <v>154</v>
      </c>
      <c r="C32" s="21" t="s">
        <v>96</v>
      </c>
      <c r="D32" s="21" t="s">
        <v>155</v>
      </c>
      <c r="E32" s="22" t="n">
        <v>36427</v>
      </c>
      <c r="F32" s="23" t="n">
        <v>26</v>
      </c>
      <c r="G32" s="22" t="n">
        <v>45444</v>
      </c>
      <c r="H32" s="24" t="n">
        <v>2.2</v>
      </c>
      <c r="I32" s="21" t="s">
        <v>88</v>
      </c>
      <c r="J32" s="21" t="s">
        <v>89</v>
      </c>
      <c r="K32" s="21" t="s">
        <v>76</v>
      </c>
      <c r="L32" s="21" t="s">
        <v>77</v>
      </c>
      <c r="M32" s="21" t="s">
        <v>78</v>
      </c>
      <c r="N32" s="21" t="s">
        <v>79</v>
      </c>
      <c r="O32" s="21" t="s">
        <v>106</v>
      </c>
      <c r="P32" s="21" t="s">
        <v>3</v>
      </c>
      <c r="Q32" s="23" t="n">
        <v>23250</v>
      </c>
      <c r="R32" s="24" t="n">
        <v>91.7</v>
      </c>
      <c r="S32" s="24" t="n">
        <v>91.7</v>
      </c>
      <c r="T32" s="21" t="s">
        <v>81</v>
      </c>
      <c r="U32" s="21" t="s">
        <v>82</v>
      </c>
      <c r="V32" s="21" t="s">
        <v>81</v>
      </c>
      <c r="W32" s="22" t="n">
        <v>46212</v>
      </c>
      <c r="X32" s="21" t="s">
        <v>83</v>
      </c>
      <c r="Y32" s="23" t="n">
        <v>-41</v>
      </c>
      <c r="Z32" s="21" t="s">
        <v>78</v>
      </c>
      <c r="AA32" s="21" t="s">
        <v>84</v>
      </c>
      <c r="AB32" s="15" t="s">
        <v>85</v>
      </c>
      <c r="AC32" s="23" t="n">
        <v>0</v>
      </c>
      <c r="AD32" s="23" t="n">
        <v>1</v>
      </c>
      <c r="AE32" s="23" t="n">
        <v>14</v>
      </c>
    </row>
    <row r="33" customFormat="false" ht="21.75" hidden="false" customHeight="true" outlineLevel="0" collapsed="false">
      <c r="A33" s="25" t="n">
        <v>300340</v>
      </c>
      <c r="B33" s="26" t="s">
        <v>181</v>
      </c>
      <c r="C33" s="26" t="s">
        <v>72</v>
      </c>
      <c r="D33" s="26" t="s">
        <v>104</v>
      </c>
      <c r="E33" s="27" t="n">
        <v>30420</v>
      </c>
      <c r="F33" s="28" t="n">
        <v>43</v>
      </c>
      <c r="G33" s="27" t="n">
        <v>39169</v>
      </c>
      <c r="H33" s="29" t="n">
        <v>19.4</v>
      </c>
      <c r="I33" s="26" t="s">
        <v>137</v>
      </c>
      <c r="J33" s="26" t="s">
        <v>89</v>
      </c>
      <c r="K33" s="26" t="s">
        <v>76</v>
      </c>
      <c r="L33" s="26" t="s">
        <v>90</v>
      </c>
      <c r="M33" s="26" t="s">
        <v>91</v>
      </c>
      <c r="N33" s="26" t="s">
        <v>91</v>
      </c>
      <c r="O33" s="26" t="s">
        <v>80</v>
      </c>
      <c r="P33" s="26" t="s">
        <v>3</v>
      </c>
      <c r="Q33" s="28" t="n">
        <v>11450</v>
      </c>
      <c r="R33" s="29" t="n">
        <v>93.7</v>
      </c>
      <c r="S33" s="29" t="n">
        <v>93.7</v>
      </c>
      <c r="T33" s="26" t="s">
        <v>81</v>
      </c>
      <c r="U33" s="26" t="s">
        <v>92</v>
      </c>
      <c r="V33" s="26" t="s">
        <v>81</v>
      </c>
      <c r="W33" s="27" t="n">
        <v>46938</v>
      </c>
      <c r="X33" s="26" t="s">
        <v>93</v>
      </c>
      <c r="Y33" s="28" t="n">
        <v>685</v>
      </c>
      <c r="Z33" s="26" t="s">
        <v>94</v>
      </c>
      <c r="AA33" s="26" t="s">
        <v>84</v>
      </c>
      <c r="AB33" s="30" t="s">
        <v>85</v>
      </c>
      <c r="AC33" s="28" t="n">
        <v>0</v>
      </c>
      <c r="AD33" s="28" t="n">
        <v>1</v>
      </c>
      <c r="AE33" s="28" t="n">
        <v>24</v>
      </c>
    </row>
    <row r="34" customFormat="false" ht="21.75" hidden="false" customHeight="true" outlineLevel="0" collapsed="false">
      <c r="A34" s="20" t="n">
        <v>300344</v>
      </c>
      <c r="B34" s="21" t="s">
        <v>182</v>
      </c>
      <c r="C34" s="21" t="s">
        <v>96</v>
      </c>
      <c r="D34" s="21" t="s">
        <v>108</v>
      </c>
      <c r="E34" s="22" t="n">
        <v>35950</v>
      </c>
      <c r="F34" s="23" t="n">
        <v>28</v>
      </c>
      <c r="G34" s="22" t="n">
        <v>45444</v>
      </c>
      <c r="H34" s="24" t="n">
        <v>2.2</v>
      </c>
      <c r="I34" s="21" t="s">
        <v>137</v>
      </c>
      <c r="J34" s="21" t="s">
        <v>89</v>
      </c>
      <c r="K34" s="21" t="s">
        <v>76</v>
      </c>
      <c r="L34" s="21" t="s">
        <v>122</v>
      </c>
      <c r="M34" s="21" t="s">
        <v>183</v>
      </c>
      <c r="N34" s="21" t="s">
        <v>79</v>
      </c>
      <c r="O34" s="21" t="s">
        <v>80</v>
      </c>
      <c r="P34" s="21" t="s">
        <v>3</v>
      </c>
      <c r="Q34" s="23" t="n">
        <v>8650</v>
      </c>
      <c r="R34" s="24" t="n">
        <v>88.3</v>
      </c>
      <c r="S34" s="24" t="n">
        <v>88.3</v>
      </c>
      <c r="T34" s="21" t="s">
        <v>81</v>
      </c>
      <c r="U34" s="21" t="s">
        <v>82</v>
      </c>
      <c r="V34" s="21" t="s">
        <v>81</v>
      </c>
      <c r="W34" s="22" t="n">
        <v>45912</v>
      </c>
      <c r="X34" s="21" t="s">
        <v>83</v>
      </c>
      <c r="Y34" s="23" t="n">
        <v>-341</v>
      </c>
      <c r="Z34" s="21" t="s">
        <v>183</v>
      </c>
      <c r="AA34" s="21" t="s">
        <v>84</v>
      </c>
      <c r="AB34" s="15" t="s">
        <v>85</v>
      </c>
      <c r="AC34" s="23" t="n">
        <v>0</v>
      </c>
      <c r="AD34" s="23" t="n">
        <v>1</v>
      </c>
      <c r="AE34" s="23" t="n">
        <v>43</v>
      </c>
    </row>
    <row r="35" customFormat="false" ht="21.75" hidden="false" customHeight="true" outlineLevel="0" collapsed="false">
      <c r="A35" s="25" t="n">
        <v>300351</v>
      </c>
      <c r="B35" s="26" t="s">
        <v>184</v>
      </c>
      <c r="C35" s="26" t="s">
        <v>96</v>
      </c>
      <c r="D35" s="26" t="s">
        <v>108</v>
      </c>
      <c r="E35" s="27" t="n">
        <v>14080</v>
      </c>
      <c r="F35" s="28" t="n">
        <v>88</v>
      </c>
      <c r="G35" s="27" t="n">
        <v>43923</v>
      </c>
      <c r="H35" s="29" t="n">
        <v>6.4</v>
      </c>
      <c r="I35" s="26" t="s">
        <v>74</v>
      </c>
      <c r="J35" s="26" t="s">
        <v>75</v>
      </c>
      <c r="K35" s="26" t="s">
        <v>76</v>
      </c>
      <c r="L35" s="26" t="s">
        <v>122</v>
      </c>
      <c r="M35" s="26" t="s">
        <v>185</v>
      </c>
      <c r="N35" s="26" t="s">
        <v>79</v>
      </c>
      <c r="O35" s="26" t="s">
        <v>147</v>
      </c>
      <c r="P35" s="26" t="s">
        <v>3</v>
      </c>
      <c r="Q35" s="28" t="n">
        <v>9800</v>
      </c>
      <c r="R35" s="29" t="n">
        <v>92.1</v>
      </c>
      <c r="S35" s="29" t="n">
        <v>92.1</v>
      </c>
      <c r="T35" s="26" t="s">
        <v>81</v>
      </c>
      <c r="U35" s="26" t="s">
        <v>82</v>
      </c>
      <c r="V35" s="26" t="s">
        <v>81</v>
      </c>
      <c r="W35" s="27" t="n">
        <v>46960</v>
      </c>
      <c r="X35" s="26" t="s">
        <v>93</v>
      </c>
      <c r="Y35" s="28" t="n">
        <v>707</v>
      </c>
      <c r="Z35" s="26" t="s">
        <v>185</v>
      </c>
      <c r="AA35" s="26" t="s">
        <v>84</v>
      </c>
      <c r="AB35" s="30" t="s">
        <v>186</v>
      </c>
      <c r="AC35" s="28" t="n">
        <v>1</v>
      </c>
      <c r="AD35" s="28" t="n">
        <v>1</v>
      </c>
      <c r="AE35" s="28" t="n">
        <v>48</v>
      </c>
    </row>
    <row r="36" customFormat="false" ht="21.75" hidden="false" customHeight="true" outlineLevel="0" collapsed="false">
      <c r="A36" s="20" t="n">
        <v>300363</v>
      </c>
      <c r="B36" s="21" t="s">
        <v>187</v>
      </c>
      <c r="C36" s="21" t="s">
        <v>96</v>
      </c>
      <c r="D36" s="21" t="s">
        <v>108</v>
      </c>
      <c r="E36" s="22" t="n">
        <v>29267</v>
      </c>
      <c r="F36" s="23" t="n">
        <v>46</v>
      </c>
      <c r="G36" s="22" t="n">
        <v>45393</v>
      </c>
      <c r="H36" s="24" t="n">
        <v>2.4</v>
      </c>
      <c r="I36" s="21" t="s">
        <v>133</v>
      </c>
      <c r="J36" s="21" t="s">
        <v>134</v>
      </c>
      <c r="K36" s="21" t="s">
        <v>135</v>
      </c>
      <c r="L36" s="21" t="s">
        <v>90</v>
      </c>
      <c r="M36" s="21" t="s">
        <v>105</v>
      </c>
      <c r="N36" s="21" t="s">
        <v>91</v>
      </c>
      <c r="O36" s="21" t="s">
        <v>80</v>
      </c>
      <c r="P36" s="21" t="s">
        <v>127</v>
      </c>
      <c r="Q36" s="23" t="n">
        <v>11200</v>
      </c>
      <c r="R36" s="24" t="n">
        <v>80.1</v>
      </c>
      <c r="S36" s="24" t="n">
        <v>80.1</v>
      </c>
      <c r="T36" s="21" t="s">
        <v>81</v>
      </c>
      <c r="U36" s="21" t="s">
        <v>82</v>
      </c>
      <c r="V36" s="21" t="s">
        <v>81</v>
      </c>
      <c r="W36" s="22" t="n">
        <v>46873</v>
      </c>
      <c r="X36" s="21" t="s">
        <v>93</v>
      </c>
      <c r="Y36" s="23" t="n">
        <v>620</v>
      </c>
      <c r="Z36" s="21" t="s">
        <v>120</v>
      </c>
      <c r="AA36" s="21" t="s">
        <v>140</v>
      </c>
      <c r="AB36" s="15" t="s">
        <v>151</v>
      </c>
      <c r="AC36" s="23" t="n">
        <v>2</v>
      </c>
      <c r="AD36" s="23" t="n">
        <v>1</v>
      </c>
      <c r="AE36" s="23" t="n">
        <v>41</v>
      </c>
    </row>
    <row r="37" customFormat="false" ht="21.75" hidden="false" customHeight="true" outlineLevel="0" collapsed="false">
      <c r="A37" s="25" t="n">
        <v>300375</v>
      </c>
      <c r="B37" s="26" t="s">
        <v>188</v>
      </c>
      <c r="C37" s="26" t="s">
        <v>96</v>
      </c>
      <c r="D37" s="26" t="s">
        <v>108</v>
      </c>
      <c r="E37" s="27" t="n">
        <v>28485</v>
      </c>
      <c r="F37" s="28" t="n">
        <v>48</v>
      </c>
      <c r="G37" s="27" t="n">
        <v>45415</v>
      </c>
      <c r="H37" s="29" t="n">
        <v>2.3</v>
      </c>
      <c r="I37" s="26" t="s">
        <v>88</v>
      </c>
      <c r="J37" s="26" t="s">
        <v>89</v>
      </c>
      <c r="K37" s="26" t="s">
        <v>76</v>
      </c>
      <c r="L37" s="26" t="s">
        <v>90</v>
      </c>
      <c r="M37" s="26" t="s">
        <v>114</v>
      </c>
      <c r="N37" s="26" t="s">
        <v>115</v>
      </c>
      <c r="O37" s="26" t="s">
        <v>80</v>
      </c>
      <c r="P37" s="26" t="s">
        <v>3</v>
      </c>
      <c r="Q37" s="28" t="n">
        <v>0</v>
      </c>
      <c r="R37" s="29" t="n">
        <v>85.8</v>
      </c>
      <c r="S37" s="29" t="n">
        <v>85.8</v>
      </c>
      <c r="T37" s="26" t="s">
        <v>81</v>
      </c>
      <c r="U37" s="26" t="s">
        <v>116</v>
      </c>
      <c r="V37" s="26" t="s">
        <v>81</v>
      </c>
      <c r="W37" s="27" t="n">
        <v>46795</v>
      </c>
      <c r="X37" s="26" t="s">
        <v>93</v>
      </c>
      <c r="Y37" s="28" t="n">
        <v>542</v>
      </c>
      <c r="Z37" s="26" t="s">
        <v>189</v>
      </c>
      <c r="AA37" s="26" t="s">
        <v>140</v>
      </c>
      <c r="AB37" s="30" t="s">
        <v>190</v>
      </c>
      <c r="AC37" s="28" t="n">
        <v>2</v>
      </c>
      <c r="AD37" s="28" t="n">
        <v>1</v>
      </c>
      <c r="AE37" s="28" t="n">
        <v>13</v>
      </c>
    </row>
    <row r="38" customFormat="false" ht="21.75" hidden="false" customHeight="true" outlineLevel="0" collapsed="false">
      <c r="A38" s="20" t="n">
        <v>300378</v>
      </c>
      <c r="B38" s="21" t="s">
        <v>86</v>
      </c>
      <c r="C38" s="21" t="s">
        <v>72</v>
      </c>
      <c r="D38" s="21" t="s">
        <v>87</v>
      </c>
      <c r="E38" s="22" t="n">
        <v>31406</v>
      </c>
      <c r="F38" s="23" t="n">
        <v>40</v>
      </c>
      <c r="G38" s="22" t="n">
        <v>44168</v>
      </c>
      <c r="H38" s="24" t="n">
        <v>5.7</v>
      </c>
      <c r="I38" s="21" t="s">
        <v>88</v>
      </c>
      <c r="J38" s="21" t="s">
        <v>89</v>
      </c>
      <c r="K38" s="21" t="s">
        <v>76</v>
      </c>
      <c r="L38" s="21" t="s">
        <v>97</v>
      </c>
      <c r="M38" s="21" t="s">
        <v>138</v>
      </c>
      <c r="N38" s="21" t="s">
        <v>99</v>
      </c>
      <c r="O38" s="21" t="s">
        <v>100</v>
      </c>
      <c r="P38" s="21" t="s">
        <v>3</v>
      </c>
      <c r="Q38" s="23" t="n">
        <v>6400</v>
      </c>
      <c r="R38" s="24" t="n">
        <v>84.3</v>
      </c>
      <c r="S38" s="24" t="n">
        <v>84.3</v>
      </c>
      <c r="T38" s="21" t="s">
        <v>81</v>
      </c>
      <c r="U38" s="21" t="s">
        <v>82</v>
      </c>
      <c r="V38" s="21" t="s">
        <v>101</v>
      </c>
      <c r="W38" s="22"/>
      <c r="X38" s="21" t="s">
        <v>101</v>
      </c>
      <c r="Y38" s="23"/>
      <c r="Z38" s="21" t="s">
        <v>138</v>
      </c>
      <c r="AA38" s="21" t="s">
        <v>84</v>
      </c>
      <c r="AB38" s="15" t="s">
        <v>85</v>
      </c>
      <c r="AC38" s="23" t="n">
        <v>0</v>
      </c>
      <c r="AD38" s="23" t="n">
        <v>1</v>
      </c>
      <c r="AE38" s="23" t="n">
        <v>21</v>
      </c>
    </row>
    <row r="39" customFormat="false" ht="21.75" hidden="false" customHeight="true" outlineLevel="0" collapsed="false">
      <c r="A39" s="25" t="n">
        <v>300386</v>
      </c>
      <c r="B39" s="26" t="s">
        <v>152</v>
      </c>
      <c r="C39" s="26" t="s">
        <v>72</v>
      </c>
      <c r="D39" s="26" t="s">
        <v>153</v>
      </c>
      <c r="E39" s="27" t="n">
        <v>27431</v>
      </c>
      <c r="F39" s="28" t="n">
        <v>51</v>
      </c>
      <c r="G39" s="27" t="n">
        <v>38836</v>
      </c>
      <c r="H39" s="29" t="n">
        <v>20.3</v>
      </c>
      <c r="I39" s="26" t="s">
        <v>74</v>
      </c>
      <c r="J39" s="26" t="s">
        <v>75</v>
      </c>
      <c r="K39" s="26" t="s">
        <v>76</v>
      </c>
      <c r="L39" s="26" t="s">
        <v>77</v>
      </c>
      <c r="M39" s="26" t="s">
        <v>143</v>
      </c>
      <c r="N39" s="26" t="s">
        <v>143</v>
      </c>
      <c r="O39" s="26" t="s">
        <v>80</v>
      </c>
      <c r="P39" s="26" t="s">
        <v>3</v>
      </c>
      <c r="Q39" s="28" t="n">
        <v>26400</v>
      </c>
      <c r="R39" s="29" t="n">
        <v>86.3</v>
      </c>
      <c r="S39" s="29" t="n">
        <v>86.3</v>
      </c>
      <c r="T39" s="26" t="s">
        <v>81</v>
      </c>
      <c r="U39" s="26" t="s">
        <v>116</v>
      </c>
      <c r="V39" s="26" t="s">
        <v>81</v>
      </c>
      <c r="W39" s="27" t="n">
        <v>46921</v>
      </c>
      <c r="X39" s="26" t="s">
        <v>93</v>
      </c>
      <c r="Y39" s="28" t="n">
        <v>668</v>
      </c>
      <c r="Z39" s="26" t="s">
        <v>191</v>
      </c>
      <c r="AA39" s="26" t="s">
        <v>84</v>
      </c>
      <c r="AB39" s="30" t="s">
        <v>85</v>
      </c>
      <c r="AC39" s="28" t="n">
        <v>0</v>
      </c>
      <c r="AD39" s="28" t="n">
        <v>1</v>
      </c>
      <c r="AE39" s="28" t="n">
        <v>5</v>
      </c>
    </row>
    <row r="40" customFormat="false" ht="21.75" hidden="false" customHeight="true" outlineLevel="0" collapsed="false">
      <c r="A40" s="20" t="n">
        <v>300394</v>
      </c>
      <c r="B40" s="21" t="s">
        <v>192</v>
      </c>
      <c r="C40" s="21" t="s">
        <v>72</v>
      </c>
      <c r="D40" s="21" t="s">
        <v>108</v>
      </c>
      <c r="E40" s="22" t="n">
        <v>36364</v>
      </c>
      <c r="F40" s="23" t="n">
        <v>27</v>
      </c>
      <c r="G40" s="22" t="n">
        <v>45931</v>
      </c>
      <c r="H40" s="24" t="n">
        <v>0.9</v>
      </c>
      <c r="I40" s="21" t="s">
        <v>88</v>
      </c>
      <c r="J40" s="21" t="s">
        <v>89</v>
      </c>
      <c r="K40" s="21" t="s">
        <v>76</v>
      </c>
      <c r="L40" s="21" t="s">
        <v>90</v>
      </c>
      <c r="M40" s="21" t="s">
        <v>115</v>
      </c>
      <c r="N40" s="21" t="s">
        <v>115</v>
      </c>
      <c r="O40" s="21" t="s">
        <v>147</v>
      </c>
      <c r="P40" s="21" t="s">
        <v>193</v>
      </c>
      <c r="Q40" s="23" t="n">
        <v>10850</v>
      </c>
      <c r="R40" s="24" t="n">
        <v>98</v>
      </c>
      <c r="S40" s="24" t="n">
        <v>98</v>
      </c>
      <c r="T40" s="21" t="s">
        <v>81</v>
      </c>
      <c r="U40" s="21" t="s">
        <v>82</v>
      </c>
      <c r="V40" s="21" t="s">
        <v>81</v>
      </c>
      <c r="W40" s="22" t="n">
        <v>46641</v>
      </c>
      <c r="X40" s="21" t="s">
        <v>93</v>
      </c>
      <c r="Y40" s="23" t="n">
        <v>388</v>
      </c>
      <c r="Z40" s="21" t="s">
        <v>162</v>
      </c>
      <c r="AA40" s="21" t="s">
        <v>84</v>
      </c>
      <c r="AB40" s="15" t="s">
        <v>194</v>
      </c>
      <c r="AC40" s="23" t="n">
        <v>1</v>
      </c>
      <c r="AD40" s="23" t="n">
        <v>2</v>
      </c>
      <c r="AE40" s="23" t="n">
        <v>20</v>
      </c>
    </row>
    <row r="41" customFormat="false" ht="21.75" hidden="false" customHeight="true" outlineLevel="0" collapsed="false">
      <c r="A41" s="25" t="n">
        <v>300406</v>
      </c>
      <c r="B41" s="26" t="s">
        <v>152</v>
      </c>
      <c r="C41" s="26" t="s">
        <v>72</v>
      </c>
      <c r="D41" s="26" t="s">
        <v>153</v>
      </c>
      <c r="E41" s="27" t="n">
        <v>26822</v>
      </c>
      <c r="F41" s="28" t="n">
        <v>53</v>
      </c>
      <c r="G41" s="27" t="n">
        <v>41981</v>
      </c>
      <c r="H41" s="29" t="n">
        <v>11.7</v>
      </c>
      <c r="I41" s="26" t="s">
        <v>88</v>
      </c>
      <c r="J41" s="26" t="s">
        <v>89</v>
      </c>
      <c r="K41" s="26" t="s">
        <v>76</v>
      </c>
      <c r="L41" s="26" t="s">
        <v>90</v>
      </c>
      <c r="M41" s="26" t="s">
        <v>115</v>
      </c>
      <c r="N41" s="26" t="s">
        <v>115</v>
      </c>
      <c r="O41" s="26" t="s">
        <v>80</v>
      </c>
      <c r="P41" s="26" t="s">
        <v>3</v>
      </c>
      <c r="Q41" s="28" t="n">
        <v>13600</v>
      </c>
      <c r="R41" s="29" t="n">
        <v>75</v>
      </c>
      <c r="S41" s="29" t="n">
        <v>75</v>
      </c>
      <c r="T41" s="26" t="s">
        <v>81</v>
      </c>
      <c r="U41" s="26" t="s">
        <v>92</v>
      </c>
      <c r="V41" s="26" t="s">
        <v>81</v>
      </c>
      <c r="W41" s="27" t="n">
        <v>46625</v>
      </c>
      <c r="X41" s="26" t="s">
        <v>93</v>
      </c>
      <c r="Y41" s="28" t="n">
        <v>372</v>
      </c>
      <c r="Z41" s="26" t="s">
        <v>162</v>
      </c>
      <c r="AA41" s="26" t="s">
        <v>84</v>
      </c>
      <c r="AB41" s="30" t="s">
        <v>85</v>
      </c>
      <c r="AC41" s="28" t="n">
        <v>0</v>
      </c>
      <c r="AD41" s="28" t="n">
        <v>1</v>
      </c>
      <c r="AE41" s="28" t="n">
        <v>32</v>
      </c>
    </row>
    <row r="42" customFormat="false" ht="21.75" hidden="false" customHeight="true" outlineLevel="0" collapsed="false">
      <c r="A42" s="20" t="n">
        <v>300415</v>
      </c>
      <c r="B42" s="21" t="s">
        <v>195</v>
      </c>
      <c r="C42" s="21" t="s">
        <v>96</v>
      </c>
      <c r="D42" s="21" t="s">
        <v>108</v>
      </c>
      <c r="E42" s="22" t="n">
        <v>28432</v>
      </c>
      <c r="F42" s="23" t="n">
        <v>48</v>
      </c>
      <c r="G42" s="22" t="n">
        <v>44067</v>
      </c>
      <c r="H42" s="24" t="n">
        <v>6</v>
      </c>
      <c r="I42" s="21" t="s">
        <v>88</v>
      </c>
      <c r="J42" s="21" t="s">
        <v>89</v>
      </c>
      <c r="K42" s="21" t="s">
        <v>76</v>
      </c>
      <c r="L42" s="21" t="s">
        <v>159</v>
      </c>
      <c r="M42" s="21" t="s">
        <v>173</v>
      </c>
      <c r="N42" s="21" t="s">
        <v>161</v>
      </c>
      <c r="O42" s="21" t="s">
        <v>80</v>
      </c>
      <c r="P42" s="21" t="s">
        <v>3</v>
      </c>
      <c r="Q42" s="23" t="n">
        <v>13850</v>
      </c>
      <c r="R42" s="24" t="n">
        <v>87.2</v>
      </c>
      <c r="S42" s="24" t="n">
        <v>87.2</v>
      </c>
      <c r="T42" s="21" t="s">
        <v>81</v>
      </c>
      <c r="U42" s="21" t="s">
        <v>82</v>
      </c>
      <c r="V42" s="21" t="s">
        <v>101</v>
      </c>
      <c r="W42" s="22"/>
      <c r="X42" s="21" t="s">
        <v>101</v>
      </c>
      <c r="Y42" s="23"/>
      <c r="Z42" s="21" t="s">
        <v>173</v>
      </c>
      <c r="AA42" s="21" t="s">
        <v>84</v>
      </c>
      <c r="AB42" s="15" t="s">
        <v>85</v>
      </c>
      <c r="AC42" s="23" t="n">
        <v>0</v>
      </c>
      <c r="AD42" s="23" t="n">
        <v>1</v>
      </c>
      <c r="AE42" s="23" t="n">
        <v>3</v>
      </c>
    </row>
    <row r="43" customFormat="false" ht="21.75" hidden="false" customHeight="true" outlineLevel="0" collapsed="false">
      <c r="A43" s="25" t="n">
        <v>300426</v>
      </c>
      <c r="B43" s="26" t="s">
        <v>196</v>
      </c>
      <c r="C43" s="26" t="s">
        <v>96</v>
      </c>
      <c r="D43" s="26" t="s">
        <v>108</v>
      </c>
      <c r="E43" s="27" t="n">
        <v>35278</v>
      </c>
      <c r="F43" s="28" t="n">
        <v>30</v>
      </c>
      <c r="G43" s="27" t="n">
        <v>44582</v>
      </c>
      <c r="H43" s="29" t="n">
        <v>4.6</v>
      </c>
      <c r="I43" s="26" t="s">
        <v>88</v>
      </c>
      <c r="J43" s="26" t="s">
        <v>89</v>
      </c>
      <c r="K43" s="26" t="s">
        <v>76</v>
      </c>
      <c r="L43" s="26" t="s">
        <v>90</v>
      </c>
      <c r="M43" s="26" t="s">
        <v>114</v>
      </c>
      <c r="N43" s="26" t="s">
        <v>115</v>
      </c>
      <c r="O43" s="26" t="s">
        <v>100</v>
      </c>
      <c r="P43" s="26" t="s">
        <v>148</v>
      </c>
      <c r="Q43" s="28" t="n">
        <v>11600</v>
      </c>
      <c r="R43" s="29" t="n">
        <v>96.7</v>
      </c>
      <c r="S43" s="29" t="n">
        <v>96.7</v>
      </c>
      <c r="T43" s="26" t="s">
        <v>81</v>
      </c>
      <c r="U43" s="26" t="s">
        <v>82</v>
      </c>
      <c r="V43" s="26" t="s">
        <v>81</v>
      </c>
      <c r="W43" s="27" t="n">
        <v>46842</v>
      </c>
      <c r="X43" s="26" t="s">
        <v>93</v>
      </c>
      <c r="Y43" s="28" t="n">
        <v>589</v>
      </c>
      <c r="Z43" s="26" t="s">
        <v>117</v>
      </c>
      <c r="AA43" s="26" t="s">
        <v>84</v>
      </c>
      <c r="AB43" s="30" t="s">
        <v>194</v>
      </c>
      <c r="AC43" s="28" t="n">
        <v>1</v>
      </c>
      <c r="AD43" s="28" t="n">
        <v>2</v>
      </c>
      <c r="AE43" s="28" t="n">
        <v>35</v>
      </c>
    </row>
    <row r="44" customFormat="false" ht="21.75" hidden="false" customHeight="true" outlineLevel="0" collapsed="false">
      <c r="A44" s="20" t="n">
        <v>300436</v>
      </c>
      <c r="B44" s="21" t="s">
        <v>188</v>
      </c>
      <c r="C44" s="21" t="s">
        <v>96</v>
      </c>
      <c r="D44" s="21" t="s">
        <v>108</v>
      </c>
      <c r="E44" s="22" t="n">
        <v>34320</v>
      </c>
      <c r="F44" s="23" t="n">
        <v>32</v>
      </c>
      <c r="G44" s="22" t="n">
        <v>43134</v>
      </c>
      <c r="H44" s="24" t="n">
        <v>8.5</v>
      </c>
      <c r="I44" s="21" t="s">
        <v>133</v>
      </c>
      <c r="J44" s="21" t="s">
        <v>134</v>
      </c>
      <c r="K44" s="21" t="s">
        <v>135</v>
      </c>
      <c r="L44" s="21" t="s">
        <v>90</v>
      </c>
      <c r="M44" s="21" t="s">
        <v>105</v>
      </c>
      <c r="N44" s="21" t="s">
        <v>91</v>
      </c>
      <c r="O44" s="21" t="s">
        <v>106</v>
      </c>
      <c r="P44" s="21" t="s">
        <v>3</v>
      </c>
      <c r="Q44" s="23" t="n">
        <v>13050</v>
      </c>
      <c r="R44" s="24" t="n">
        <v>86.2</v>
      </c>
      <c r="S44" s="24" t="n">
        <v>86.2</v>
      </c>
      <c r="T44" s="21" t="s">
        <v>81</v>
      </c>
      <c r="U44" s="21" t="s">
        <v>82</v>
      </c>
      <c r="V44" s="21" t="s">
        <v>81</v>
      </c>
      <c r="W44" s="22" t="n">
        <v>46250</v>
      </c>
      <c r="X44" s="21" t="s">
        <v>83</v>
      </c>
      <c r="Y44" s="23" t="n">
        <v>-3</v>
      </c>
      <c r="Z44" s="21" t="s">
        <v>105</v>
      </c>
      <c r="AA44" s="21" t="s">
        <v>84</v>
      </c>
      <c r="AB44" s="15" t="s">
        <v>85</v>
      </c>
      <c r="AC44" s="23" t="n">
        <v>0</v>
      </c>
      <c r="AD44" s="23" t="n">
        <v>1</v>
      </c>
      <c r="AE44" s="23" t="n">
        <v>23</v>
      </c>
    </row>
    <row r="45" customFormat="false" ht="21.75" hidden="false" customHeight="true" outlineLevel="0" collapsed="false">
      <c r="A45" s="25" t="n">
        <v>300443</v>
      </c>
      <c r="B45" s="26" t="s">
        <v>197</v>
      </c>
      <c r="C45" s="26" t="s">
        <v>96</v>
      </c>
      <c r="D45" s="26" t="s">
        <v>108</v>
      </c>
      <c r="E45" s="27" t="n">
        <v>34694</v>
      </c>
      <c r="F45" s="28" t="n">
        <v>31</v>
      </c>
      <c r="G45" s="27" t="n">
        <v>45134</v>
      </c>
      <c r="H45" s="29" t="n">
        <v>3.1</v>
      </c>
      <c r="I45" s="26" t="s">
        <v>74</v>
      </c>
      <c r="J45" s="26" t="s">
        <v>75</v>
      </c>
      <c r="K45" s="26" t="s">
        <v>76</v>
      </c>
      <c r="L45" s="26" t="s">
        <v>122</v>
      </c>
      <c r="M45" s="26" t="s">
        <v>126</v>
      </c>
      <c r="N45" s="26" t="s">
        <v>79</v>
      </c>
      <c r="O45" s="26" t="s">
        <v>80</v>
      </c>
      <c r="P45" s="26" t="s">
        <v>127</v>
      </c>
      <c r="Q45" s="28" t="n">
        <v>10800</v>
      </c>
      <c r="R45" s="29" t="n">
        <v>82.7</v>
      </c>
      <c r="S45" s="29" t="n">
        <v>82.7</v>
      </c>
      <c r="T45" s="26" t="s">
        <v>81</v>
      </c>
      <c r="U45" s="26" t="s">
        <v>198</v>
      </c>
      <c r="V45" s="26" t="s">
        <v>81</v>
      </c>
      <c r="W45" s="27" t="n">
        <v>46599</v>
      </c>
      <c r="X45" s="26" t="s">
        <v>93</v>
      </c>
      <c r="Y45" s="28" t="n">
        <v>346</v>
      </c>
      <c r="Z45" s="26" t="s">
        <v>199</v>
      </c>
      <c r="AA45" s="26" t="s">
        <v>140</v>
      </c>
      <c r="AB45" s="30" t="s">
        <v>151</v>
      </c>
      <c r="AC45" s="28" t="n">
        <v>2</v>
      </c>
      <c r="AD45" s="28" t="n">
        <v>1</v>
      </c>
      <c r="AE45" s="28" t="n">
        <v>34</v>
      </c>
    </row>
    <row r="46" customFormat="false" ht="21.75" hidden="false" customHeight="true" outlineLevel="0" collapsed="false">
      <c r="A46" s="20" t="n">
        <v>300452</v>
      </c>
      <c r="B46" s="21" t="s">
        <v>154</v>
      </c>
      <c r="C46" s="21" t="s">
        <v>96</v>
      </c>
      <c r="D46" s="21" t="s">
        <v>155</v>
      </c>
      <c r="E46" s="22" t="n">
        <v>34030</v>
      </c>
      <c r="F46" s="23" t="n">
        <v>33</v>
      </c>
      <c r="G46" s="22" t="n">
        <v>46015</v>
      </c>
      <c r="H46" s="24" t="n">
        <v>0.7</v>
      </c>
      <c r="I46" s="21" t="s">
        <v>133</v>
      </c>
      <c r="J46" s="21" t="s">
        <v>134</v>
      </c>
      <c r="K46" s="21" t="s">
        <v>135</v>
      </c>
      <c r="L46" s="21" t="s">
        <v>90</v>
      </c>
      <c r="M46" s="21" t="s">
        <v>91</v>
      </c>
      <c r="N46" s="21" t="s">
        <v>91</v>
      </c>
      <c r="O46" s="21" t="s">
        <v>80</v>
      </c>
      <c r="P46" s="21" t="s">
        <v>3</v>
      </c>
      <c r="Q46" s="23" t="n">
        <v>7400</v>
      </c>
      <c r="R46" s="24" t="n">
        <v>68.6</v>
      </c>
      <c r="S46" s="24" t="n">
        <v>68.6</v>
      </c>
      <c r="T46" s="21" t="s">
        <v>81</v>
      </c>
      <c r="U46" s="21" t="s">
        <v>116</v>
      </c>
      <c r="V46" s="21" t="s">
        <v>81</v>
      </c>
      <c r="W46" s="22" t="n">
        <v>46067</v>
      </c>
      <c r="X46" s="21" t="s">
        <v>83</v>
      </c>
      <c r="Y46" s="23" t="n">
        <v>-186</v>
      </c>
      <c r="Z46" s="21" t="s">
        <v>200</v>
      </c>
      <c r="AA46" s="21" t="s">
        <v>140</v>
      </c>
      <c r="AB46" s="15" t="s">
        <v>9</v>
      </c>
      <c r="AC46" s="23" t="n">
        <v>1</v>
      </c>
      <c r="AD46" s="23" t="n">
        <v>1</v>
      </c>
      <c r="AE46" s="23" t="n">
        <v>28</v>
      </c>
    </row>
    <row r="47" customFormat="false" ht="21.75" hidden="false" customHeight="true" outlineLevel="0" collapsed="false">
      <c r="A47" s="25" t="n">
        <v>300462</v>
      </c>
      <c r="B47" s="26" t="s">
        <v>154</v>
      </c>
      <c r="C47" s="26" t="s">
        <v>96</v>
      </c>
      <c r="D47" s="26" t="s">
        <v>155</v>
      </c>
      <c r="E47" s="27" t="n">
        <v>34452</v>
      </c>
      <c r="F47" s="28" t="n">
        <v>32</v>
      </c>
      <c r="G47" s="27" t="n">
        <v>45946</v>
      </c>
      <c r="H47" s="29" t="n">
        <v>0.8</v>
      </c>
      <c r="I47" s="26" t="s">
        <v>74</v>
      </c>
      <c r="J47" s="26" t="s">
        <v>75</v>
      </c>
      <c r="K47" s="26" t="s">
        <v>76</v>
      </c>
      <c r="L47" s="26" t="s">
        <v>77</v>
      </c>
      <c r="M47" s="26" t="s">
        <v>146</v>
      </c>
      <c r="N47" s="26" t="s">
        <v>79</v>
      </c>
      <c r="O47" s="26" t="s">
        <v>80</v>
      </c>
      <c r="P47" s="26" t="s">
        <v>3</v>
      </c>
      <c r="Q47" s="28" t="n">
        <v>24350</v>
      </c>
      <c r="R47" s="29" t="n">
        <v>83.2</v>
      </c>
      <c r="S47" s="29" t="n">
        <v>83.2</v>
      </c>
      <c r="T47" s="26" t="s">
        <v>81</v>
      </c>
      <c r="U47" s="26" t="s">
        <v>82</v>
      </c>
      <c r="V47" s="26" t="s">
        <v>81</v>
      </c>
      <c r="W47" s="27" t="n">
        <v>47042</v>
      </c>
      <c r="X47" s="26" t="s">
        <v>93</v>
      </c>
      <c r="Y47" s="28" t="n">
        <v>789</v>
      </c>
      <c r="Z47" s="26" t="s">
        <v>146</v>
      </c>
      <c r="AA47" s="26" t="s">
        <v>84</v>
      </c>
      <c r="AB47" s="30" t="s">
        <v>194</v>
      </c>
      <c r="AC47" s="28" t="n">
        <v>1</v>
      </c>
      <c r="AD47" s="28" t="n">
        <v>2</v>
      </c>
      <c r="AE47" s="28" t="n">
        <v>18</v>
      </c>
    </row>
    <row r="48" customFormat="false" ht="21.75" hidden="false" customHeight="true" outlineLevel="0" collapsed="false">
      <c r="A48" s="20" t="n">
        <v>300466</v>
      </c>
      <c r="B48" s="21" t="s">
        <v>154</v>
      </c>
      <c r="C48" s="21" t="s">
        <v>96</v>
      </c>
      <c r="D48" s="21" t="s">
        <v>155</v>
      </c>
      <c r="E48" s="22" t="n">
        <v>33425</v>
      </c>
      <c r="F48" s="23" t="n">
        <v>35</v>
      </c>
      <c r="G48" s="22" t="n">
        <v>43690</v>
      </c>
      <c r="H48" s="24" t="n">
        <v>7</v>
      </c>
      <c r="I48" s="21" t="s">
        <v>74</v>
      </c>
      <c r="J48" s="21" t="s">
        <v>75</v>
      </c>
      <c r="K48" s="21" t="s">
        <v>76</v>
      </c>
      <c r="L48" s="21" t="s">
        <v>97</v>
      </c>
      <c r="M48" s="21" t="s">
        <v>120</v>
      </c>
      <c r="N48" s="21" t="s">
        <v>99</v>
      </c>
      <c r="O48" s="21" t="s">
        <v>80</v>
      </c>
      <c r="P48" s="21" t="s">
        <v>193</v>
      </c>
      <c r="Q48" s="23" t="n">
        <v>5800</v>
      </c>
      <c r="R48" s="24" t="n">
        <v>89.8</v>
      </c>
      <c r="S48" s="24" t="n">
        <v>89.8</v>
      </c>
      <c r="T48" s="21" t="s">
        <v>81</v>
      </c>
      <c r="U48" s="21" t="s">
        <v>198</v>
      </c>
      <c r="V48" s="21" t="s">
        <v>101</v>
      </c>
      <c r="W48" s="22"/>
      <c r="X48" s="21" t="s">
        <v>101</v>
      </c>
      <c r="Y48" s="23"/>
      <c r="Z48" s="21" t="s">
        <v>120</v>
      </c>
      <c r="AA48" s="21" t="s">
        <v>84</v>
      </c>
      <c r="AB48" s="15" t="s">
        <v>85</v>
      </c>
      <c r="AC48" s="23" t="n">
        <v>0</v>
      </c>
      <c r="AD48" s="23" t="n">
        <v>1</v>
      </c>
      <c r="AE48" s="23" t="n">
        <v>22</v>
      </c>
    </row>
    <row r="49" customFormat="false" ht="21.75" hidden="false" customHeight="true" outlineLevel="0" collapsed="false">
      <c r="A49" s="25" t="n">
        <v>300473</v>
      </c>
      <c r="B49" s="26" t="s">
        <v>201</v>
      </c>
      <c r="C49" s="26" t="s">
        <v>72</v>
      </c>
      <c r="D49" s="26" t="s">
        <v>108</v>
      </c>
      <c r="E49" s="27" t="n">
        <v>29340</v>
      </c>
      <c r="F49" s="28" t="n">
        <v>46</v>
      </c>
      <c r="G49" s="27" t="n">
        <v>38166</v>
      </c>
      <c r="H49" s="29" t="n">
        <v>22.1</v>
      </c>
      <c r="I49" s="26" t="s">
        <v>88</v>
      </c>
      <c r="J49" s="26" t="s">
        <v>89</v>
      </c>
      <c r="K49" s="26" t="s">
        <v>76</v>
      </c>
      <c r="L49" s="26" t="s">
        <v>90</v>
      </c>
      <c r="M49" s="26" t="s">
        <v>91</v>
      </c>
      <c r="N49" s="26" t="s">
        <v>91</v>
      </c>
      <c r="O49" s="26" t="s">
        <v>80</v>
      </c>
      <c r="P49" s="26" t="s">
        <v>3</v>
      </c>
      <c r="Q49" s="28" t="n">
        <v>11850</v>
      </c>
      <c r="R49" s="29" t="n">
        <v>93.2</v>
      </c>
      <c r="S49" s="29" t="n">
        <v>93.2</v>
      </c>
      <c r="T49" s="26" t="s">
        <v>81</v>
      </c>
      <c r="U49" s="26" t="s">
        <v>92</v>
      </c>
      <c r="V49" s="26" t="s">
        <v>110</v>
      </c>
      <c r="W49" s="27"/>
      <c r="X49" s="26" t="s">
        <v>111</v>
      </c>
      <c r="Y49" s="28"/>
      <c r="Z49" s="26" t="s">
        <v>94</v>
      </c>
      <c r="AA49" s="26" t="s">
        <v>84</v>
      </c>
      <c r="AB49" s="30" t="s">
        <v>112</v>
      </c>
      <c r="AC49" s="28" t="n">
        <v>1</v>
      </c>
      <c r="AD49" s="28" t="n">
        <v>1</v>
      </c>
      <c r="AE49" s="28" t="n">
        <v>40</v>
      </c>
    </row>
    <row r="50" customFormat="false" ht="21.75" hidden="false" customHeight="true" outlineLevel="0" collapsed="false">
      <c r="A50" s="20" t="n">
        <v>300476</v>
      </c>
      <c r="B50" s="21" t="s">
        <v>95</v>
      </c>
      <c r="C50" s="21" t="s">
        <v>96</v>
      </c>
      <c r="D50" s="21" t="s">
        <v>73</v>
      </c>
      <c r="E50" s="22" t="n">
        <v>25229</v>
      </c>
      <c r="F50" s="23" t="n">
        <v>57</v>
      </c>
      <c r="G50" s="22" t="n">
        <v>35259</v>
      </c>
      <c r="H50" s="24" t="n">
        <v>30.1</v>
      </c>
      <c r="I50" s="21" t="s">
        <v>74</v>
      </c>
      <c r="J50" s="21" t="s">
        <v>75</v>
      </c>
      <c r="K50" s="21" t="s">
        <v>76</v>
      </c>
      <c r="L50" s="21" t="s">
        <v>90</v>
      </c>
      <c r="M50" s="21" t="s">
        <v>115</v>
      </c>
      <c r="N50" s="21" t="s">
        <v>115</v>
      </c>
      <c r="O50" s="21" t="s">
        <v>100</v>
      </c>
      <c r="P50" s="21" t="s">
        <v>3</v>
      </c>
      <c r="Q50" s="23" t="n">
        <v>10350</v>
      </c>
      <c r="R50" s="24" t="n">
        <v>92.8</v>
      </c>
      <c r="S50" s="24" t="n">
        <v>92.8</v>
      </c>
      <c r="T50" s="21" t="s">
        <v>81</v>
      </c>
      <c r="U50" s="21" t="s">
        <v>82</v>
      </c>
      <c r="V50" s="21" t="s">
        <v>81</v>
      </c>
      <c r="W50" s="22" t="n">
        <v>46193</v>
      </c>
      <c r="X50" s="21" t="s">
        <v>83</v>
      </c>
      <c r="Y50" s="23" t="n">
        <v>-60</v>
      </c>
      <c r="Z50" s="21" t="s">
        <v>162</v>
      </c>
      <c r="AA50" s="21" t="s">
        <v>84</v>
      </c>
      <c r="AB50" s="15" t="s">
        <v>85</v>
      </c>
      <c r="AC50" s="23" t="n">
        <v>0</v>
      </c>
      <c r="AD50" s="23" t="n">
        <v>1</v>
      </c>
      <c r="AE50" s="23" t="n">
        <v>12</v>
      </c>
    </row>
    <row r="51" customFormat="false" ht="21.75" hidden="false" customHeight="true" outlineLevel="0" collapsed="false">
      <c r="A51" s="25" t="n">
        <v>300480</v>
      </c>
      <c r="B51" s="26" t="s">
        <v>181</v>
      </c>
      <c r="C51" s="26" t="s">
        <v>72</v>
      </c>
      <c r="D51" s="26" t="s">
        <v>104</v>
      </c>
      <c r="E51" s="27" t="n">
        <v>30660</v>
      </c>
      <c r="F51" s="28" t="n">
        <v>42</v>
      </c>
      <c r="G51" s="27" t="n">
        <v>43981</v>
      </c>
      <c r="H51" s="29" t="n">
        <v>6.2</v>
      </c>
      <c r="I51" s="26" t="s">
        <v>133</v>
      </c>
      <c r="J51" s="26" t="s">
        <v>134</v>
      </c>
      <c r="K51" s="26" t="s">
        <v>135</v>
      </c>
      <c r="L51" s="26" t="s">
        <v>77</v>
      </c>
      <c r="M51" s="26" t="s">
        <v>164</v>
      </c>
      <c r="N51" s="26" t="s">
        <v>143</v>
      </c>
      <c r="O51" s="26" t="s">
        <v>80</v>
      </c>
      <c r="P51" s="26" t="s">
        <v>127</v>
      </c>
      <c r="Q51" s="28" t="n">
        <v>25600</v>
      </c>
      <c r="R51" s="29" t="n">
        <v>76.1</v>
      </c>
      <c r="S51" s="29" t="n">
        <v>76.1</v>
      </c>
      <c r="T51" s="26" t="s">
        <v>81</v>
      </c>
      <c r="U51" s="26" t="s">
        <v>82</v>
      </c>
      <c r="V51" s="26" t="s">
        <v>81</v>
      </c>
      <c r="W51" s="27" t="n">
        <v>45721</v>
      </c>
      <c r="X51" s="26" t="s">
        <v>83</v>
      </c>
      <c r="Y51" s="28" t="n">
        <v>-532</v>
      </c>
      <c r="Z51" s="26" t="s">
        <v>202</v>
      </c>
      <c r="AA51" s="26" t="s">
        <v>84</v>
      </c>
      <c r="AB51" s="30" t="s">
        <v>8</v>
      </c>
      <c r="AC51" s="28" t="n">
        <v>1</v>
      </c>
      <c r="AD51" s="28" t="n">
        <v>1</v>
      </c>
      <c r="AE51" s="28" t="n">
        <v>36</v>
      </c>
    </row>
  </sheetData>
  <conditionalFormatting sqref="X2:X51">
    <cfRule type="expression" priority="2" aboveAverage="0" equalAverage="0" bottom="0" percent="0" rank="0" text="" dxfId="11">
      <formula>X2="منتهي"</formula>
    </cfRule>
    <cfRule type="expression" priority="3" aboveAverage="0" equalAverage="0" bottom="0" percent="0" rank="0" text="" dxfId="12">
      <formula>X2="ينتهي خلال 90 يوم"</formula>
    </cfRule>
  </conditionalFormatting>
  <conditionalFormatting sqref="P2:P51">
    <cfRule type="expression" priority="4" aboveAverage="0" equalAverage="0" bottom="0" percent="0" rank="0" text="" dxfId="13">
      <formula>P2="غير محدد"</formula>
    </cfRule>
  </conditionalFormatting>
  <conditionalFormatting sqref="AA2:AA51">
    <cfRule type="expression" priority="5" aboveAverage="0" equalAverage="0" bottom="0" percent="0" rank="0" text="" dxfId="14">
      <formula>AA2="يحتاج مراجعة"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54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76953125" defaultRowHeight="15" zeroHeight="false" outlineLevelRow="0" outlineLevelCol="0"/>
  <cols>
    <col collapsed="false" customWidth="true" hidden="false" outlineLevel="0" max="1" min="1" style="1" width="18.92"/>
    <col collapsed="false" customWidth="true" hidden="false" outlineLevel="0" max="2" min="2" style="1" width="21.44"/>
    <col collapsed="false" customWidth="true" hidden="false" outlineLevel="0" max="4" min="3" style="1" width="11.35"/>
    <col collapsed="false" customWidth="true" hidden="false" outlineLevel="0" max="6" min="5" style="1" width="18.92"/>
    <col collapsed="false" customWidth="true" hidden="false" outlineLevel="0" max="7" min="7" style="1" width="40.36"/>
    <col collapsed="false" customWidth="true" hidden="false" outlineLevel="0" max="8" min="8" style="1" width="22.7"/>
    <col collapsed="false" customWidth="true" hidden="false" outlineLevel="0" max="9" min="9" style="1" width="50.45"/>
    <col collapsed="false" customWidth="true" hidden="false" outlineLevel="0" max="10" min="10" style="1" width="22.7"/>
    <col collapsed="false" customWidth="true" hidden="false" outlineLevel="0" max="11" min="11" style="1" width="32.8"/>
    <col collapsed="false" customWidth="true" hidden="false" outlineLevel="0" max="12" min="12" style="1" width="17.66"/>
    <col collapsed="false" customWidth="true" hidden="false" outlineLevel="0" max="13" min="13" style="1" width="25.24"/>
    <col collapsed="false" customWidth="true" hidden="false" outlineLevel="0" max="14" min="14" style="1" width="27.75"/>
    <col collapsed="false" customWidth="true" hidden="false" outlineLevel="0" max="15" min="15" style="1" width="20.18"/>
    <col collapsed="false" customWidth="true" hidden="false" outlineLevel="0" max="16" min="16" style="1" width="23.96"/>
    <col collapsed="false" customWidth="true" hidden="false" outlineLevel="0" max="17" min="17" style="1" width="18.92"/>
    <col collapsed="false" customWidth="true" hidden="false" outlineLevel="0" max="18" min="18" style="1" width="30.27"/>
    <col collapsed="false" customWidth="true" hidden="false" outlineLevel="0" max="19" min="19" style="1" width="27.75"/>
    <col collapsed="false" customWidth="true" hidden="false" outlineLevel="0" max="20" min="20" style="1" width="41.62"/>
  </cols>
  <sheetData>
    <row r="1" customFormat="false" ht="30" hidden="false" customHeight="true" outlineLevel="0" collapsed="false">
      <c r="A1" s="19" t="s">
        <v>40</v>
      </c>
      <c r="B1" s="19" t="s">
        <v>41</v>
      </c>
      <c r="C1" s="19" t="s">
        <v>42</v>
      </c>
      <c r="D1" s="19" t="s">
        <v>43</v>
      </c>
      <c r="E1" s="19" t="s">
        <v>44</v>
      </c>
      <c r="F1" s="19" t="s">
        <v>46</v>
      </c>
      <c r="G1" s="19" t="s">
        <v>48</v>
      </c>
      <c r="H1" s="19" t="s">
        <v>49</v>
      </c>
      <c r="I1" s="19" t="s">
        <v>50</v>
      </c>
      <c r="J1" s="19" t="s">
        <v>51</v>
      </c>
      <c r="K1" s="19" t="s">
        <v>52</v>
      </c>
      <c r="L1" s="19" t="s">
        <v>53</v>
      </c>
      <c r="M1" s="19" t="s">
        <v>54</v>
      </c>
      <c r="N1" s="19" t="s">
        <v>55</v>
      </c>
      <c r="O1" s="19" t="s">
        <v>56</v>
      </c>
      <c r="P1" s="19" t="s">
        <v>57</v>
      </c>
      <c r="Q1" s="19" t="s">
        <v>60</v>
      </c>
      <c r="R1" s="19" t="s">
        <v>61</v>
      </c>
      <c r="S1" s="19" t="s">
        <v>62</v>
      </c>
      <c r="T1" s="19" t="s">
        <v>203</v>
      </c>
    </row>
    <row r="2" customFormat="false" ht="15" hidden="false" customHeight="false" outlineLevel="0" collapsed="false">
      <c r="A2" s="20" t="n">
        <v>300257</v>
      </c>
      <c r="B2" s="21" t="s">
        <v>163</v>
      </c>
      <c r="C2" s="21" t="s">
        <v>96</v>
      </c>
      <c r="D2" s="21" t="s">
        <v>108</v>
      </c>
      <c r="E2" s="21" t="s">
        <v>204</v>
      </c>
      <c r="F2" s="21" t="s">
        <v>205</v>
      </c>
      <c r="G2" s="21" t="s">
        <v>137</v>
      </c>
      <c r="H2" s="21" t="s">
        <v>89</v>
      </c>
      <c r="I2" s="21" t="s">
        <v>76</v>
      </c>
      <c r="J2" s="21" t="s">
        <v>77</v>
      </c>
      <c r="K2" s="21" t="s">
        <v>164</v>
      </c>
      <c r="L2" s="21" t="s">
        <v>143</v>
      </c>
      <c r="M2" s="21" t="s">
        <v>80</v>
      </c>
      <c r="N2" s="21" t="s">
        <v>3</v>
      </c>
      <c r="O2" s="23" t="n">
        <v>31350</v>
      </c>
      <c r="P2" s="24" t="n">
        <v>78</v>
      </c>
      <c r="Q2" s="21" t="s">
        <v>92</v>
      </c>
      <c r="R2" s="21" t="s">
        <v>81</v>
      </c>
      <c r="S2" s="21" t="s">
        <v>206</v>
      </c>
      <c r="T2" s="21" t="s">
        <v>165</v>
      </c>
    </row>
    <row r="3" customFormat="false" ht="15" hidden="false" customHeight="false" outlineLevel="0" collapsed="false">
      <c r="A3" s="25" t="n">
        <v>300415</v>
      </c>
      <c r="B3" s="26" t="s">
        <v>195</v>
      </c>
      <c r="C3" s="26" t="s">
        <v>96</v>
      </c>
      <c r="D3" s="26" t="s">
        <v>108</v>
      </c>
      <c r="E3" s="26" t="s">
        <v>207</v>
      </c>
      <c r="F3" s="26" t="s">
        <v>208</v>
      </c>
      <c r="G3" s="26" t="s">
        <v>88</v>
      </c>
      <c r="H3" s="26" t="s">
        <v>89</v>
      </c>
      <c r="I3" s="26" t="s">
        <v>76</v>
      </c>
      <c r="J3" s="26" t="s">
        <v>159</v>
      </c>
      <c r="K3" s="26" t="s">
        <v>173</v>
      </c>
      <c r="L3" s="26" t="s">
        <v>161</v>
      </c>
      <c r="M3" s="26" t="s">
        <v>80</v>
      </c>
      <c r="N3" s="26" t="s">
        <v>3</v>
      </c>
      <c r="O3" s="28" t="n">
        <v>13850</v>
      </c>
      <c r="P3" s="29" t="n">
        <v>87.2</v>
      </c>
      <c r="Q3" s="26" t="s">
        <v>82</v>
      </c>
      <c r="R3" s="26" t="s">
        <v>101</v>
      </c>
      <c r="S3" s="26"/>
      <c r="T3" s="26" t="s">
        <v>173</v>
      </c>
    </row>
    <row r="4" customFormat="false" ht="15" hidden="false" customHeight="false" outlineLevel="0" collapsed="false">
      <c r="A4" s="20" t="n">
        <v>300394</v>
      </c>
      <c r="B4" s="21" t="s">
        <v>192</v>
      </c>
      <c r="C4" s="21" t="s">
        <v>72</v>
      </c>
      <c r="D4" s="21" t="s">
        <v>209</v>
      </c>
      <c r="E4" s="21" t="s">
        <v>210</v>
      </c>
      <c r="F4" s="21" t="s">
        <v>211</v>
      </c>
      <c r="G4" s="21" t="s">
        <v>88</v>
      </c>
      <c r="H4" s="21" t="s">
        <v>89</v>
      </c>
      <c r="I4" s="21" t="s">
        <v>76</v>
      </c>
      <c r="J4" s="21" t="s">
        <v>90</v>
      </c>
      <c r="K4" s="21" t="s">
        <v>115</v>
      </c>
      <c r="L4" s="21" t="s">
        <v>115</v>
      </c>
      <c r="M4" s="21" t="s">
        <v>147</v>
      </c>
      <c r="N4" s="21" t="s">
        <v>193</v>
      </c>
      <c r="O4" s="23" t="n">
        <v>10850</v>
      </c>
      <c r="P4" s="24" t="n">
        <v>98</v>
      </c>
      <c r="Q4" s="21" t="s">
        <v>82</v>
      </c>
      <c r="R4" s="21" t="s">
        <v>81</v>
      </c>
      <c r="S4" s="21" t="s">
        <v>212</v>
      </c>
      <c r="T4" s="21" t="s">
        <v>162</v>
      </c>
    </row>
    <row r="5" customFormat="false" ht="15" hidden="false" customHeight="false" outlineLevel="0" collapsed="false">
      <c r="A5" s="25" t="n">
        <v>300386</v>
      </c>
      <c r="B5" s="26" t="s">
        <v>152</v>
      </c>
      <c r="C5" s="26" t="s">
        <v>72</v>
      </c>
      <c r="D5" s="26" t="s">
        <v>153</v>
      </c>
      <c r="E5" s="26" t="s">
        <v>213</v>
      </c>
      <c r="F5" s="26" t="s">
        <v>214</v>
      </c>
      <c r="G5" s="26" t="s">
        <v>74</v>
      </c>
      <c r="H5" s="26" t="s">
        <v>75</v>
      </c>
      <c r="I5" s="26" t="s">
        <v>76</v>
      </c>
      <c r="J5" s="26" t="s">
        <v>77</v>
      </c>
      <c r="K5" s="26" t="s">
        <v>143</v>
      </c>
      <c r="L5" s="26" t="s">
        <v>143</v>
      </c>
      <c r="M5" s="26" t="s">
        <v>80</v>
      </c>
      <c r="N5" s="26" t="s">
        <v>3</v>
      </c>
      <c r="O5" s="28" t="n">
        <v>26400</v>
      </c>
      <c r="P5" s="29" t="n">
        <v>86.3</v>
      </c>
      <c r="Q5" s="26" t="s">
        <v>116</v>
      </c>
      <c r="R5" s="26" t="s">
        <v>81</v>
      </c>
      <c r="S5" s="26" t="s">
        <v>215</v>
      </c>
      <c r="T5" s="26" t="s">
        <v>191</v>
      </c>
    </row>
    <row r="6" customFormat="false" ht="15" hidden="false" customHeight="false" outlineLevel="0" collapsed="false">
      <c r="A6" s="20" t="n">
        <v>300248</v>
      </c>
      <c r="B6" s="21" t="s">
        <v>158</v>
      </c>
      <c r="C6" s="21" t="s">
        <v>96</v>
      </c>
      <c r="D6" s="21" t="s">
        <v>108</v>
      </c>
      <c r="E6" s="21" t="s">
        <v>216</v>
      </c>
      <c r="F6" s="21" t="s">
        <v>217</v>
      </c>
      <c r="G6" s="21" t="s">
        <v>88</v>
      </c>
      <c r="H6" s="21" t="s">
        <v>89</v>
      </c>
      <c r="I6" s="21" t="s">
        <v>76</v>
      </c>
      <c r="J6" s="21" t="s">
        <v>159</v>
      </c>
      <c r="K6" s="21" t="s">
        <v>160</v>
      </c>
      <c r="L6" s="21" t="s">
        <v>161</v>
      </c>
      <c r="M6" s="21" t="s">
        <v>80</v>
      </c>
      <c r="N6" s="21" t="s">
        <v>3</v>
      </c>
      <c r="O6" s="23" t="n">
        <v>8600</v>
      </c>
      <c r="P6" s="24" t="n">
        <v>83.3</v>
      </c>
      <c r="Q6" s="21" t="s">
        <v>92</v>
      </c>
      <c r="R6" s="21" t="s">
        <v>101</v>
      </c>
      <c r="S6" s="21"/>
      <c r="T6" s="21" t="s">
        <v>160</v>
      </c>
    </row>
    <row r="7" customFormat="false" ht="15" hidden="false" customHeight="false" outlineLevel="0" collapsed="false">
      <c r="A7" s="25" t="n">
        <v>300325</v>
      </c>
      <c r="B7" s="26" t="s">
        <v>178</v>
      </c>
      <c r="C7" s="26" t="s">
        <v>96</v>
      </c>
      <c r="D7" s="26" t="s">
        <v>108</v>
      </c>
      <c r="E7" s="26" t="s">
        <v>218</v>
      </c>
      <c r="F7" s="26" t="s">
        <v>219</v>
      </c>
      <c r="G7" s="26" t="s">
        <v>220</v>
      </c>
      <c r="H7" s="26" t="s">
        <v>75</v>
      </c>
      <c r="I7" s="26" t="s">
        <v>76</v>
      </c>
      <c r="J7" s="26" t="s">
        <v>221</v>
      </c>
      <c r="K7" s="26" t="s">
        <v>179</v>
      </c>
      <c r="L7" s="26" t="s">
        <v>180</v>
      </c>
      <c r="M7" s="26" t="s">
        <v>80</v>
      </c>
      <c r="N7" s="26" t="s">
        <v>3</v>
      </c>
      <c r="O7" s="28" t="n">
        <v>43800</v>
      </c>
      <c r="P7" s="29" t="n">
        <v>77.2</v>
      </c>
      <c r="Q7" s="26" t="s">
        <v>82</v>
      </c>
      <c r="R7" s="26" t="s">
        <v>110</v>
      </c>
      <c r="S7" s="26"/>
      <c r="T7" s="26" t="s">
        <v>179</v>
      </c>
    </row>
    <row r="8" customFormat="false" ht="15" hidden="false" customHeight="false" outlineLevel="0" collapsed="false">
      <c r="A8" s="20" t="n">
        <v>300113</v>
      </c>
      <c r="B8" s="21" t="s">
        <v>95</v>
      </c>
      <c r="C8" s="21" t="s">
        <v>96</v>
      </c>
      <c r="D8" s="21" t="s">
        <v>73</v>
      </c>
      <c r="E8" s="21" t="s">
        <v>222</v>
      </c>
      <c r="F8" s="21" t="s">
        <v>223</v>
      </c>
      <c r="G8" s="21" t="s">
        <v>88</v>
      </c>
      <c r="H8" s="21" t="s">
        <v>89</v>
      </c>
      <c r="I8" s="21" t="s">
        <v>76</v>
      </c>
      <c r="J8" s="21" t="s">
        <v>97</v>
      </c>
      <c r="K8" s="21" t="s">
        <v>98</v>
      </c>
      <c r="L8" s="21" t="s">
        <v>99</v>
      </c>
      <c r="M8" s="21" t="s">
        <v>100</v>
      </c>
      <c r="N8" s="21" t="s">
        <v>3</v>
      </c>
      <c r="O8" s="23" t="n">
        <v>5050</v>
      </c>
      <c r="P8" s="24" t="n">
        <v>83.5</v>
      </c>
      <c r="Q8" s="21" t="s">
        <v>82</v>
      </c>
      <c r="R8" s="21" t="s">
        <v>101</v>
      </c>
      <c r="S8" s="21"/>
      <c r="T8" s="21" t="s">
        <v>102</v>
      </c>
    </row>
    <row r="9" customFormat="false" ht="15" hidden="false" customHeight="false" outlineLevel="0" collapsed="false">
      <c r="A9" s="25" t="n">
        <v>300279</v>
      </c>
      <c r="B9" s="26" t="s">
        <v>168</v>
      </c>
      <c r="C9" s="26" t="s">
        <v>96</v>
      </c>
      <c r="D9" s="26" t="s">
        <v>169</v>
      </c>
      <c r="E9" s="26" t="s">
        <v>224</v>
      </c>
      <c r="F9" s="26" t="s">
        <v>225</v>
      </c>
      <c r="G9" s="26" t="s">
        <v>88</v>
      </c>
      <c r="H9" s="26" t="s">
        <v>89</v>
      </c>
      <c r="I9" s="26" t="s">
        <v>76</v>
      </c>
      <c r="J9" s="26" t="s">
        <v>90</v>
      </c>
      <c r="K9" s="26" t="s">
        <v>114</v>
      </c>
      <c r="L9" s="26" t="s">
        <v>115</v>
      </c>
      <c r="M9" s="26" t="s">
        <v>106</v>
      </c>
      <c r="N9" s="26" t="s">
        <v>3</v>
      </c>
      <c r="O9" s="28" t="n">
        <v>9150</v>
      </c>
      <c r="P9" s="29" t="n">
        <v>73</v>
      </c>
      <c r="Q9" s="26" t="s">
        <v>92</v>
      </c>
      <c r="R9" s="26" t="s">
        <v>81</v>
      </c>
      <c r="S9" s="26" t="s">
        <v>226</v>
      </c>
      <c r="T9" s="26" t="s">
        <v>117</v>
      </c>
    </row>
    <row r="10" customFormat="false" ht="15" hidden="false" customHeight="false" outlineLevel="0" collapsed="false">
      <c r="A10" s="20" t="n">
        <v>300177</v>
      </c>
      <c r="B10" s="21" t="s">
        <v>129</v>
      </c>
      <c r="C10" s="21" t="s">
        <v>72</v>
      </c>
      <c r="D10" s="21" t="s">
        <v>209</v>
      </c>
      <c r="E10" s="21" t="s">
        <v>227</v>
      </c>
      <c r="F10" s="21" t="s">
        <v>228</v>
      </c>
      <c r="G10" s="21" t="s">
        <v>88</v>
      </c>
      <c r="H10" s="21" t="s">
        <v>89</v>
      </c>
      <c r="I10" s="21" t="s">
        <v>76</v>
      </c>
      <c r="J10" s="21" t="s">
        <v>90</v>
      </c>
      <c r="K10" s="21" t="s">
        <v>91</v>
      </c>
      <c r="L10" s="21" t="s">
        <v>91</v>
      </c>
      <c r="M10" s="21" t="s">
        <v>80</v>
      </c>
      <c r="N10" s="21" t="s">
        <v>3</v>
      </c>
      <c r="O10" s="23" t="n">
        <v>0</v>
      </c>
      <c r="P10" s="24" t="n">
        <v>84.6</v>
      </c>
      <c r="Q10" s="21" t="s">
        <v>92</v>
      </c>
      <c r="R10" s="21" t="s">
        <v>81</v>
      </c>
      <c r="S10" s="21" t="s">
        <v>229</v>
      </c>
      <c r="T10" s="21" t="s">
        <v>94</v>
      </c>
    </row>
    <row r="11" customFormat="false" ht="15" hidden="false" customHeight="false" outlineLevel="0" collapsed="false">
      <c r="A11" s="25" t="n">
        <v>300142</v>
      </c>
      <c r="B11" s="26" t="s">
        <v>113</v>
      </c>
      <c r="C11" s="26" t="s">
        <v>230</v>
      </c>
      <c r="D11" s="26" t="s">
        <v>209</v>
      </c>
      <c r="E11" s="26" t="s">
        <v>231</v>
      </c>
      <c r="F11" s="26" t="s">
        <v>232</v>
      </c>
      <c r="G11" s="26" t="s">
        <v>88</v>
      </c>
      <c r="H11" s="26" t="s">
        <v>89</v>
      </c>
      <c r="I11" s="26" t="s">
        <v>76</v>
      </c>
      <c r="J11" s="26" t="s">
        <v>90</v>
      </c>
      <c r="K11" s="26" t="s">
        <v>114</v>
      </c>
      <c r="L11" s="26" t="s">
        <v>115</v>
      </c>
      <c r="M11" s="26" t="s">
        <v>100</v>
      </c>
      <c r="N11" s="26" t="s">
        <v>3</v>
      </c>
      <c r="O11" s="28" t="n">
        <v>11500</v>
      </c>
      <c r="P11" s="29" t="n">
        <v>91.6</v>
      </c>
      <c r="Q11" s="26" t="s">
        <v>116</v>
      </c>
      <c r="R11" s="26" t="s">
        <v>81</v>
      </c>
      <c r="S11" s="26" t="s">
        <v>233</v>
      </c>
      <c r="T11" s="26" t="s">
        <v>117</v>
      </c>
    </row>
    <row r="12" customFormat="false" ht="15" hidden="false" customHeight="false" outlineLevel="0" collapsed="false">
      <c r="A12" s="20" t="n">
        <v>300476</v>
      </c>
      <c r="B12" s="21" t="s">
        <v>95</v>
      </c>
      <c r="C12" s="21" t="s">
        <v>96</v>
      </c>
      <c r="D12" s="21" t="s">
        <v>73</v>
      </c>
      <c r="E12" s="21" t="s">
        <v>234</v>
      </c>
      <c r="F12" s="21" t="s">
        <v>235</v>
      </c>
      <c r="G12" s="21" t="s">
        <v>220</v>
      </c>
      <c r="H12" s="21" t="s">
        <v>75</v>
      </c>
      <c r="I12" s="21" t="s">
        <v>76</v>
      </c>
      <c r="J12" s="21" t="s">
        <v>90</v>
      </c>
      <c r="K12" s="21" t="s">
        <v>115</v>
      </c>
      <c r="L12" s="21" t="s">
        <v>115</v>
      </c>
      <c r="M12" s="21" t="s">
        <v>100</v>
      </c>
      <c r="N12" s="21" t="s">
        <v>3</v>
      </c>
      <c r="O12" s="23" t="n">
        <v>10350</v>
      </c>
      <c r="P12" s="24" t="n">
        <v>92.8</v>
      </c>
      <c r="Q12" s="21" t="s">
        <v>82</v>
      </c>
      <c r="R12" s="21" t="s">
        <v>81</v>
      </c>
      <c r="S12" s="21" t="s">
        <v>236</v>
      </c>
      <c r="T12" s="21" t="s">
        <v>162</v>
      </c>
    </row>
    <row r="13" customFormat="false" ht="15" hidden="false" customHeight="false" outlineLevel="0" collapsed="false">
      <c r="A13" s="25" t="n">
        <v>300375</v>
      </c>
      <c r="B13" s="26" t="s">
        <v>188</v>
      </c>
      <c r="C13" s="26" t="s">
        <v>237</v>
      </c>
      <c r="D13" s="26" t="s">
        <v>108</v>
      </c>
      <c r="E13" s="26" t="s">
        <v>238</v>
      </c>
      <c r="F13" s="26" t="s">
        <v>239</v>
      </c>
      <c r="G13" s="26" t="s">
        <v>88</v>
      </c>
      <c r="H13" s="26" t="s">
        <v>89</v>
      </c>
      <c r="I13" s="26" t="s">
        <v>76</v>
      </c>
      <c r="J13" s="26" t="s">
        <v>90</v>
      </c>
      <c r="K13" s="26" t="s">
        <v>114</v>
      </c>
      <c r="L13" s="26" t="s">
        <v>115</v>
      </c>
      <c r="M13" s="26" t="s">
        <v>80</v>
      </c>
      <c r="N13" s="26" t="s">
        <v>3</v>
      </c>
      <c r="O13" s="28" t="n">
        <v>0</v>
      </c>
      <c r="P13" s="29" t="n">
        <v>85.8</v>
      </c>
      <c r="Q13" s="26" t="s">
        <v>116</v>
      </c>
      <c r="R13" s="26" t="s">
        <v>81</v>
      </c>
      <c r="S13" s="26" t="s">
        <v>240</v>
      </c>
      <c r="T13" s="26" t="s">
        <v>189</v>
      </c>
    </row>
    <row r="14" customFormat="false" ht="15" hidden="false" customHeight="false" outlineLevel="0" collapsed="false">
      <c r="A14" s="20" t="n">
        <v>300335</v>
      </c>
      <c r="B14" s="21" t="s">
        <v>154</v>
      </c>
      <c r="C14" s="21" t="s">
        <v>241</v>
      </c>
      <c r="D14" s="21" t="s">
        <v>155</v>
      </c>
      <c r="E14" s="21" t="s">
        <v>242</v>
      </c>
      <c r="F14" s="21" t="s">
        <v>243</v>
      </c>
      <c r="G14" s="21" t="s">
        <v>88</v>
      </c>
      <c r="H14" s="21" t="s">
        <v>89</v>
      </c>
      <c r="I14" s="21" t="s">
        <v>76</v>
      </c>
      <c r="J14" s="21" t="s">
        <v>77</v>
      </c>
      <c r="K14" s="21" t="s">
        <v>78</v>
      </c>
      <c r="L14" s="21" t="s">
        <v>79</v>
      </c>
      <c r="M14" s="21" t="s">
        <v>106</v>
      </c>
      <c r="N14" s="21" t="s">
        <v>3</v>
      </c>
      <c r="O14" s="23" t="n">
        <v>23250</v>
      </c>
      <c r="P14" s="24" t="n">
        <v>91.7</v>
      </c>
      <c r="Q14" s="21" t="s">
        <v>82</v>
      </c>
      <c r="R14" s="21" t="s">
        <v>81</v>
      </c>
      <c r="S14" s="21" t="s">
        <v>244</v>
      </c>
      <c r="T14" s="21" t="s">
        <v>78</v>
      </c>
    </row>
    <row r="15" customFormat="false" ht="15" hidden="false" customHeight="false" outlineLevel="0" collapsed="false">
      <c r="A15" s="25" t="n">
        <v>300169</v>
      </c>
      <c r="B15" s="26" t="s">
        <v>125</v>
      </c>
      <c r="C15" s="26" t="s">
        <v>72</v>
      </c>
      <c r="D15" s="26" t="s">
        <v>209</v>
      </c>
      <c r="E15" s="26" t="s">
        <v>245</v>
      </c>
      <c r="F15" s="26" t="s">
        <v>246</v>
      </c>
      <c r="G15" s="26" t="s">
        <v>88</v>
      </c>
      <c r="H15" s="26" t="s">
        <v>89</v>
      </c>
      <c r="I15" s="26" t="s">
        <v>76</v>
      </c>
      <c r="J15" s="26" t="s">
        <v>122</v>
      </c>
      <c r="K15" s="26" t="s">
        <v>126</v>
      </c>
      <c r="L15" s="26" t="s">
        <v>79</v>
      </c>
      <c r="M15" s="26" t="s">
        <v>80</v>
      </c>
      <c r="N15" s="26"/>
      <c r="O15" s="28" t="s">
        <v>247</v>
      </c>
      <c r="P15" s="29" t="n">
        <v>92.3</v>
      </c>
      <c r="Q15" s="26" t="s">
        <v>92</v>
      </c>
      <c r="R15" s="26" t="s">
        <v>81</v>
      </c>
      <c r="S15" s="26" t="s">
        <v>248</v>
      </c>
      <c r="T15" s="26" t="s">
        <v>128</v>
      </c>
    </row>
    <row r="16" customFormat="false" ht="15" hidden="false" customHeight="false" outlineLevel="0" collapsed="false">
      <c r="A16" s="20" t="n">
        <v>300267</v>
      </c>
      <c r="B16" s="21" t="s">
        <v>166</v>
      </c>
      <c r="C16" s="21" t="s">
        <v>72</v>
      </c>
      <c r="D16" s="21" t="s">
        <v>209</v>
      </c>
      <c r="E16" s="21" t="s">
        <v>249</v>
      </c>
      <c r="F16" s="21" t="s">
        <v>250</v>
      </c>
      <c r="G16" s="21" t="s">
        <v>88</v>
      </c>
      <c r="H16" s="21" t="s">
        <v>89</v>
      </c>
      <c r="I16" s="21" t="s">
        <v>76</v>
      </c>
      <c r="J16" s="21" t="s">
        <v>77</v>
      </c>
      <c r="K16" s="21" t="s">
        <v>143</v>
      </c>
      <c r="L16" s="21" t="s">
        <v>143</v>
      </c>
      <c r="M16" s="21" t="s">
        <v>80</v>
      </c>
      <c r="N16" s="21"/>
      <c r="O16" s="23" t="n">
        <v>18350</v>
      </c>
      <c r="P16" s="24" t="n">
        <v>88.4</v>
      </c>
      <c r="Q16" s="21" t="s">
        <v>82</v>
      </c>
      <c r="R16" s="21" t="s">
        <v>81</v>
      </c>
      <c r="S16" s="21" t="s">
        <v>251</v>
      </c>
      <c r="T16" s="21" t="s">
        <v>167</v>
      </c>
    </row>
    <row r="17" customFormat="false" ht="15" hidden="false" customHeight="false" outlineLevel="0" collapsed="false">
      <c r="A17" s="25" t="n">
        <v>300462</v>
      </c>
      <c r="B17" s="26" t="s">
        <v>154</v>
      </c>
      <c r="C17" s="26" t="s">
        <v>96</v>
      </c>
      <c r="D17" s="26" t="s">
        <v>155</v>
      </c>
      <c r="E17" s="26" t="s">
        <v>252</v>
      </c>
      <c r="F17" s="26" t="s">
        <v>253</v>
      </c>
      <c r="G17" s="26" t="s">
        <v>220</v>
      </c>
      <c r="H17" s="26" t="s">
        <v>75</v>
      </c>
      <c r="I17" s="26" t="s">
        <v>76</v>
      </c>
      <c r="J17" s="26" t="s">
        <v>77</v>
      </c>
      <c r="K17" s="26" t="s">
        <v>146</v>
      </c>
      <c r="L17" s="26" t="s">
        <v>79</v>
      </c>
      <c r="M17" s="26" t="s">
        <v>80</v>
      </c>
      <c r="N17" s="26" t="s">
        <v>3</v>
      </c>
      <c r="O17" s="28" t="n">
        <v>24350</v>
      </c>
      <c r="P17" s="29" t="n">
        <v>83.2</v>
      </c>
      <c r="Q17" s="26" t="s">
        <v>82</v>
      </c>
      <c r="R17" s="26" t="s">
        <v>81</v>
      </c>
      <c r="S17" s="26" t="s">
        <v>254</v>
      </c>
      <c r="T17" s="26" t="s">
        <v>146</v>
      </c>
    </row>
    <row r="18" customFormat="false" ht="15" hidden="false" customHeight="false" outlineLevel="0" collapsed="false">
      <c r="A18" s="20" t="n">
        <v>300462</v>
      </c>
      <c r="B18" s="21" t="s">
        <v>154</v>
      </c>
      <c r="C18" s="21" t="s">
        <v>96</v>
      </c>
      <c r="D18" s="21" t="s">
        <v>155</v>
      </c>
      <c r="E18" s="21" t="s">
        <v>255</v>
      </c>
      <c r="F18" s="21" t="s">
        <v>256</v>
      </c>
      <c r="G18" s="21" t="s">
        <v>220</v>
      </c>
      <c r="H18" s="21" t="s">
        <v>75</v>
      </c>
      <c r="I18" s="21" t="s">
        <v>76</v>
      </c>
      <c r="J18" s="21" t="s">
        <v>77</v>
      </c>
      <c r="K18" s="21" t="s">
        <v>146</v>
      </c>
      <c r="L18" s="21" t="s">
        <v>79</v>
      </c>
      <c r="M18" s="21" t="s">
        <v>80</v>
      </c>
      <c r="N18" s="21" t="s">
        <v>3</v>
      </c>
      <c r="O18" s="23" t="n">
        <v>24350</v>
      </c>
      <c r="P18" s="24" t="n">
        <v>83.2</v>
      </c>
      <c r="Q18" s="21" t="s">
        <v>82</v>
      </c>
      <c r="R18" s="21" t="s">
        <v>81</v>
      </c>
      <c r="S18" s="21" t="s">
        <v>257</v>
      </c>
      <c r="T18" s="21" t="s">
        <v>146</v>
      </c>
    </row>
    <row r="19" customFormat="false" ht="15" hidden="false" customHeight="false" outlineLevel="0" collapsed="false">
      <c r="A19" s="25" t="n">
        <v>300217</v>
      </c>
      <c r="B19" s="26" t="s">
        <v>142</v>
      </c>
      <c r="C19" s="26" t="s">
        <v>96</v>
      </c>
      <c r="D19" s="26" t="s">
        <v>108</v>
      </c>
      <c r="E19" s="26" t="s">
        <v>258</v>
      </c>
      <c r="F19" s="26" t="s">
        <v>259</v>
      </c>
      <c r="G19" s="26" t="s">
        <v>88</v>
      </c>
      <c r="H19" s="26" t="s">
        <v>89</v>
      </c>
      <c r="I19" s="26" t="s">
        <v>76</v>
      </c>
      <c r="J19" s="26" t="s">
        <v>77</v>
      </c>
      <c r="K19" s="26" t="s">
        <v>143</v>
      </c>
      <c r="L19" s="26" t="s">
        <v>143</v>
      </c>
      <c r="M19" s="26" t="s">
        <v>100</v>
      </c>
      <c r="N19" s="26" t="s">
        <v>3</v>
      </c>
      <c r="O19" s="28" t="n">
        <v>15800</v>
      </c>
      <c r="P19" s="29" t="n">
        <v>-3</v>
      </c>
      <c r="Q19" s="26" t="s">
        <v>82</v>
      </c>
      <c r="R19" s="26" t="s">
        <v>81</v>
      </c>
      <c r="S19" s="26" t="s">
        <v>260</v>
      </c>
      <c r="T19" s="26" t="s">
        <v>138</v>
      </c>
    </row>
    <row r="20" customFormat="false" ht="15" hidden="false" customHeight="false" outlineLevel="0" collapsed="false">
      <c r="A20" s="20" t="n">
        <v>300394</v>
      </c>
      <c r="B20" s="21" t="s">
        <v>192</v>
      </c>
      <c r="C20" s="21" t="s">
        <v>72</v>
      </c>
      <c r="D20" s="21" t="s">
        <v>261</v>
      </c>
      <c r="E20" s="21" t="s">
        <v>262</v>
      </c>
      <c r="F20" s="21" t="s">
        <v>263</v>
      </c>
      <c r="G20" s="21" t="s">
        <v>88</v>
      </c>
      <c r="H20" s="21" t="s">
        <v>89</v>
      </c>
      <c r="I20" s="21" t="s">
        <v>76</v>
      </c>
      <c r="J20" s="21" t="s">
        <v>90</v>
      </c>
      <c r="K20" s="21" t="s">
        <v>115</v>
      </c>
      <c r="L20" s="21" t="s">
        <v>115</v>
      </c>
      <c r="M20" s="21" t="s">
        <v>147</v>
      </c>
      <c r="N20" s="21" t="s">
        <v>193</v>
      </c>
      <c r="O20" s="23" t="s">
        <v>264</v>
      </c>
      <c r="P20" s="24" t="n">
        <v>98</v>
      </c>
      <c r="Q20" s="21" t="s">
        <v>82</v>
      </c>
      <c r="R20" s="21" t="s">
        <v>81</v>
      </c>
      <c r="S20" s="21" t="s">
        <v>212</v>
      </c>
      <c r="T20" s="21" t="s">
        <v>162</v>
      </c>
    </row>
    <row r="21" customFormat="false" ht="15" hidden="false" customHeight="false" outlineLevel="0" collapsed="false">
      <c r="A21" s="25" t="n">
        <v>300378</v>
      </c>
      <c r="B21" s="26" t="s">
        <v>86</v>
      </c>
      <c r="C21" s="26" t="s">
        <v>72</v>
      </c>
      <c r="D21" s="26" t="s">
        <v>87</v>
      </c>
      <c r="E21" s="26" t="s">
        <v>265</v>
      </c>
      <c r="F21" s="26" t="s">
        <v>266</v>
      </c>
      <c r="G21" s="26" t="s">
        <v>88</v>
      </c>
      <c r="H21" s="26" t="s">
        <v>89</v>
      </c>
      <c r="I21" s="26" t="s">
        <v>76</v>
      </c>
      <c r="J21" s="26" t="s">
        <v>97</v>
      </c>
      <c r="K21" s="26" t="s">
        <v>138</v>
      </c>
      <c r="L21" s="26" t="s">
        <v>99</v>
      </c>
      <c r="M21" s="26" t="s">
        <v>100</v>
      </c>
      <c r="N21" s="26" t="s">
        <v>3</v>
      </c>
      <c r="O21" s="28" t="n">
        <v>6400</v>
      </c>
      <c r="P21" s="29" t="n">
        <v>84.3</v>
      </c>
      <c r="Q21" s="26" t="s">
        <v>82</v>
      </c>
      <c r="R21" s="26" t="s">
        <v>101</v>
      </c>
      <c r="S21" s="26"/>
      <c r="T21" s="26" t="s">
        <v>138</v>
      </c>
    </row>
    <row r="22" customFormat="false" ht="15" hidden="false" customHeight="false" outlineLevel="0" collapsed="false">
      <c r="A22" s="20" t="n">
        <v>300466</v>
      </c>
      <c r="B22" s="21" t="s">
        <v>154</v>
      </c>
      <c r="C22" s="21" t="s">
        <v>96</v>
      </c>
      <c r="D22" s="21" t="s">
        <v>155</v>
      </c>
      <c r="E22" s="21" t="s">
        <v>267</v>
      </c>
      <c r="F22" s="21" t="s">
        <v>268</v>
      </c>
      <c r="G22" s="21" t="s">
        <v>220</v>
      </c>
      <c r="H22" s="21" t="s">
        <v>75</v>
      </c>
      <c r="I22" s="21" t="s">
        <v>76</v>
      </c>
      <c r="J22" s="21" t="s">
        <v>97</v>
      </c>
      <c r="K22" s="21" t="s">
        <v>120</v>
      </c>
      <c r="L22" s="21" t="s">
        <v>99</v>
      </c>
      <c r="M22" s="21" t="s">
        <v>80</v>
      </c>
      <c r="N22" s="21" t="s">
        <v>193</v>
      </c>
      <c r="O22" s="23" t="n">
        <v>5800</v>
      </c>
      <c r="P22" s="24" t="n">
        <v>89.8</v>
      </c>
      <c r="Q22" s="21" t="s">
        <v>198</v>
      </c>
      <c r="R22" s="21" t="s">
        <v>101</v>
      </c>
      <c r="S22" s="21"/>
      <c r="T22" s="21" t="s">
        <v>120</v>
      </c>
    </row>
    <row r="23" customFormat="false" ht="15" hidden="false" customHeight="false" outlineLevel="0" collapsed="false">
      <c r="A23" s="25" t="n">
        <v>300436</v>
      </c>
      <c r="B23" s="26" t="s">
        <v>188</v>
      </c>
      <c r="C23" s="26" t="s">
        <v>96</v>
      </c>
      <c r="D23" s="26" t="s">
        <v>108</v>
      </c>
      <c r="E23" s="26" t="s">
        <v>269</v>
      </c>
      <c r="F23" s="26" t="s">
        <v>270</v>
      </c>
      <c r="G23" s="26" t="s">
        <v>133</v>
      </c>
      <c r="H23" s="26" t="s">
        <v>134</v>
      </c>
      <c r="I23" s="26" t="s">
        <v>135</v>
      </c>
      <c r="J23" s="26" t="s">
        <v>90</v>
      </c>
      <c r="K23" s="26" t="s">
        <v>105</v>
      </c>
      <c r="L23" s="26" t="s">
        <v>91</v>
      </c>
      <c r="M23" s="26" t="s">
        <v>106</v>
      </c>
      <c r="N23" s="26" t="s">
        <v>3</v>
      </c>
      <c r="O23" s="28" t="n">
        <v>13050</v>
      </c>
      <c r="P23" s="29" t="n">
        <v>86.2</v>
      </c>
      <c r="Q23" s="26" t="s">
        <v>82</v>
      </c>
      <c r="R23" s="26" t="s">
        <v>81</v>
      </c>
      <c r="S23" s="26" t="s">
        <v>271</v>
      </c>
      <c r="T23" s="26" t="s">
        <v>105</v>
      </c>
    </row>
    <row r="24" customFormat="false" ht="15" hidden="false" customHeight="false" outlineLevel="0" collapsed="false">
      <c r="A24" s="20" t="n">
        <v>300340</v>
      </c>
      <c r="B24" s="21" t="s">
        <v>181</v>
      </c>
      <c r="C24" s="21" t="s">
        <v>72</v>
      </c>
      <c r="D24" s="21" t="s">
        <v>104</v>
      </c>
      <c r="E24" s="21" t="s">
        <v>272</v>
      </c>
      <c r="F24" s="21" t="s">
        <v>273</v>
      </c>
      <c r="G24" s="21" t="s">
        <v>137</v>
      </c>
      <c r="H24" s="21" t="s">
        <v>89</v>
      </c>
      <c r="I24" s="21" t="s">
        <v>76</v>
      </c>
      <c r="J24" s="21" t="s">
        <v>90</v>
      </c>
      <c r="K24" s="21" t="s">
        <v>91</v>
      </c>
      <c r="L24" s="21" t="s">
        <v>91</v>
      </c>
      <c r="M24" s="21" t="s">
        <v>80</v>
      </c>
      <c r="N24" s="21" t="s">
        <v>3</v>
      </c>
      <c r="O24" s="23" t="n">
        <v>11450</v>
      </c>
      <c r="P24" s="24" t="n">
        <v>93.7</v>
      </c>
      <c r="Q24" s="21" t="s">
        <v>92</v>
      </c>
      <c r="R24" s="21" t="s">
        <v>81</v>
      </c>
      <c r="S24" s="21" t="s">
        <v>274</v>
      </c>
      <c r="T24" s="21" t="s">
        <v>94</v>
      </c>
    </row>
    <row r="25" customFormat="false" ht="15" hidden="false" customHeight="false" outlineLevel="0" collapsed="false">
      <c r="A25" s="25" t="n">
        <v>300220</v>
      </c>
      <c r="B25" s="26" t="s">
        <v>145</v>
      </c>
      <c r="C25" s="26" t="s">
        <v>96</v>
      </c>
      <c r="D25" s="26" t="s">
        <v>108</v>
      </c>
      <c r="E25" s="26" t="s">
        <v>275</v>
      </c>
      <c r="F25" s="26" t="s">
        <v>276</v>
      </c>
      <c r="G25" s="26" t="s">
        <v>220</v>
      </c>
      <c r="H25" s="26" t="s">
        <v>75</v>
      </c>
      <c r="I25" s="26" t="s">
        <v>76</v>
      </c>
      <c r="J25" s="26" t="s">
        <v>77</v>
      </c>
      <c r="K25" s="26" t="s">
        <v>146</v>
      </c>
      <c r="L25" s="26" t="s">
        <v>79</v>
      </c>
      <c r="M25" s="26" t="s">
        <v>147</v>
      </c>
      <c r="N25" s="26" t="s">
        <v>148</v>
      </c>
      <c r="O25" s="28" t="n">
        <v>20600</v>
      </c>
      <c r="P25" s="29" t="n">
        <v>86.7</v>
      </c>
      <c r="Q25" s="26" t="s">
        <v>116</v>
      </c>
      <c r="R25" s="26" t="s">
        <v>81</v>
      </c>
      <c r="S25" s="26" t="s">
        <v>277</v>
      </c>
      <c r="T25" s="26" t="s">
        <v>146</v>
      </c>
    </row>
    <row r="26" customFormat="false" ht="15" hidden="false" customHeight="false" outlineLevel="0" collapsed="false">
      <c r="A26" s="20" t="n">
        <v>300105</v>
      </c>
      <c r="B26" s="21" t="s">
        <v>71</v>
      </c>
      <c r="C26" s="21" t="s">
        <v>72</v>
      </c>
      <c r="D26" s="21" t="s">
        <v>73</v>
      </c>
      <c r="E26" s="21" t="s">
        <v>278</v>
      </c>
      <c r="F26" s="21" t="s">
        <v>279</v>
      </c>
      <c r="G26" s="21" t="s">
        <v>220</v>
      </c>
      <c r="H26" s="21" t="s">
        <v>75</v>
      </c>
      <c r="I26" s="21" t="s">
        <v>76</v>
      </c>
      <c r="J26" s="21" t="s">
        <v>77</v>
      </c>
      <c r="K26" s="21" t="s">
        <v>78</v>
      </c>
      <c r="L26" s="21" t="s">
        <v>79</v>
      </c>
      <c r="M26" s="21" t="s">
        <v>80</v>
      </c>
      <c r="N26" s="21" t="s">
        <v>3</v>
      </c>
      <c r="O26" s="23" t="n">
        <v>15150</v>
      </c>
      <c r="P26" s="24" t="n">
        <v>91.9</v>
      </c>
      <c r="Q26" s="21" t="s">
        <v>82</v>
      </c>
      <c r="R26" s="21" t="s">
        <v>81</v>
      </c>
      <c r="S26" s="21" t="s">
        <v>280</v>
      </c>
      <c r="T26" s="21" t="s">
        <v>78</v>
      </c>
    </row>
    <row r="27" customFormat="false" ht="15" hidden="false" customHeight="false" outlineLevel="0" collapsed="false">
      <c r="A27" s="25" t="n">
        <v>300304</v>
      </c>
      <c r="B27" s="26" t="s">
        <v>174</v>
      </c>
      <c r="C27" s="26" t="s">
        <v>96</v>
      </c>
      <c r="D27" s="26" t="s">
        <v>108</v>
      </c>
      <c r="E27" s="26" t="s">
        <v>281</v>
      </c>
      <c r="F27" s="26" t="s">
        <v>282</v>
      </c>
      <c r="G27" s="26" t="s">
        <v>283</v>
      </c>
      <c r="H27" s="26" t="s">
        <v>89</v>
      </c>
      <c r="I27" s="26" t="s">
        <v>76</v>
      </c>
      <c r="J27" s="26" t="s">
        <v>284</v>
      </c>
      <c r="K27" s="26" t="s">
        <v>131</v>
      </c>
      <c r="L27" s="26" t="s">
        <v>124</v>
      </c>
      <c r="M27" s="26" t="s">
        <v>80</v>
      </c>
      <c r="N27" s="26"/>
      <c r="O27" s="28" t="n">
        <v>7900</v>
      </c>
      <c r="P27" s="29" t="n">
        <v>93.1</v>
      </c>
      <c r="Q27" s="26" t="s">
        <v>92</v>
      </c>
      <c r="R27" s="26" t="s">
        <v>81</v>
      </c>
      <c r="S27" s="26" t="s">
        <v>285</v>
      </c>
      <c r="T27" s="26" t="s">
        <v>131</v>
      </c>
    </row>
    <row r="28" customFormat="false" ht="15" hidden="false" customHeight="false" outlineLevel="0" collapsed="false">
      <c r="A28" s="20" t="n">
        <v>300452</v>
      </c>
      <c r="B28" s="21" t="s">
        <v>154</v>
      </c>
      <c r="C28" s="21" t="s">
        <v>96</v>
      </c>
      <c r="D28" s="21" t="s">
        <v>155</v>
      </c>
      <c r="E28" s="21" t="s">
        <v>286</v>
      </c>
      <c r="F28" s="21" t="s">
        <v>287</v>
      </c>
      <c r="G28" s="21" t="s">
        <v>133</v>
      </c>
      <c r="H28" s="21" t="s">
        <v>134</v>
      </c>
      <c r="I28" s="21" t="s">
        <v>135</v>
      </c>
      <c r="J28" s="21" t="s">
        <v>90</v>
      </c>
      <c r="K28" s="21" t="s">
        <v>91</v>
      </c>
      <c r="L28" s="21" t="s">
        <v>91</v>
      </c>
      <c r="M28" s="21" t="s">
        <v>80</v>
      </c>
      <c r="N28" s="21" t="s">
        <v>3</v>
      </c>
      <c r="O28" s="23" t="n">
        <v>7400</v>
      </c>
      <c r="P28" s="24" t="n">
        <v>68.6</v>
      </c>
      <c r="Q28" s="21" t="s">
        <v>116</v>
      </c>
      <c r="R28" s="21" t="s">
        <v>81</v>
      </c>
      <c r="S28" s="21" t="s">
        <v>288</v>
      </c>
      <c r="T28" s="21" t="s">
        <v>200</v>
      </c>
    </row>
    <row r="29" customFormat="false" ht="15" hidden="false" customHeight="false" outlineLevel="0" collapsed="false">
      <c r="A29" s="25" t="n">
        <v>300195</v>
      </c>
      <c r="B29" s="26" t="s">
        <v>132</v>
      </c>
      <c r="C29" s="26" t="s">
        <v>72</v>
      </c>
      <c r="D29" s="26" t="s">
        <v>209</v>
      </c>
      <c r="E29" s="26" t="s">
        <v>289</v>
      </c>
      <c r="F29" s="26" t="s">
        <v>290</v>
      </c>
      <c r="G29" s="26" t="s">
        <v>133</v>
      </c>
      <c r="H29" s="26" t="s">
        <v>134</v>
      </c>
      <c r="I29" s="26" t="s">
        <v>135</v>
      </c>
      <c r="J29" s="26" t="s">
        <v>90</v>
      </c>
      <c r="K29" s="26" t="s">
        <v>115</v>
      </c>
      <c r="L29" s="26" t="s">
        <v>115</v>
      </c>
      <c r="M29" s="26" t="s">
        <v>80</v>
      </c>
      <c r="N29" s="26" t="s">
        <v>3</v>
      </c>
      <c r="O29" s="28" t="n">
        <v>12950</v>
      </c>
      <c r="P29" s="29" t="n">
        <v>70.7</v>
      </c>
      <c r="Q29" s="26" t="s">
        <v>116</v>
      </c>
      <c r="R29" s="26" t="s">
        <v>81</v>
      </c>
      <c r="S29" s="26" t="s">
        <v>291</v>
      </c>
      <c r="T29" s="26" t="s">
        <v>136</v>
      </c>
    </row>
    <row r="30" customFormat="false" ht="15" hidden="false" customHeight="false" outlineLevel="0" collapsed="false">
      <c r="A30" s="20" t="n">
        <v>300153</v>
      </c>
      <c r="B30" s="21" t="s">
        <v>118</v>
      </c>
      <c r="C30" s="21" t="s">
        <v>72</v>
      </c>
      <c r="D30" s="21" t="s">
        <v>209</v>
      </c>
      <c r="E30" s="21" t="s">
        <v>292</v>
      </c>
      <c r="F30" s="21" t="s">
        <v>293</v>
      </c>
      <c r="G30" s="21" t="s">
        <v>88</v>
      </c>
      <c r="H30" s="21" t="s">
        <v>89</v>
      </c>
      <c r="I30" s="21" t="s">
        <v>76</v>
      </c>
      <c r="J30" s="21" t="s">
        <v>119</v>
      </c>
      <c r="K30" s="21" t="s">
        <v>120</v>
      </c>
      <c r="L30" s="21" t="s">
        <v>99</v>
      </c>
      <c r="M30" s="21" t="s">
        <v>80</v>
      </c>
      <c r="N30" s="21" t="s">
        <v>3</v>
      </c>
      <c r="O30" s="23" t="n">
        <v>5100</v>
      </c>
      <c r="P30" s="24" t="n">
        <v>98</v>
      </c>
      <c r="Q30" s="21" t="s">
        <v>82</v>
      </c>
      <c r="R30" s="21" t="s">
        <v>101</v>
      </c>
      <c r="S30" s="21"/>
      <c r="T30" s="21" t="s">
        <v>120</v>
      </c>
    </row>
    <row r="31" customFormat="false" ht="15" hidden="false" customHeight="false" outlineLevel="0" collapsed="false">
      <c r="A31" s="25" t="n">
        <v>300120</v>
      </c>
      <c r="B31" s="26" t="s">
        <v>103</v>
      </c>
      <c r="C31" s="26" t="s">
        <v>96</v>
      </c>
      <c r="D31" s="26" t="s">
        <v>104</v>
      </c>
      <c r="E31" s="26" t="s">
        <v>294</v>
      </c>
      <c r="F31" s="26" t="s">
        <v>295</v>
      </c>
      <c r="G31" s="26" t="s">
        <v>296</v>
      </c>
      <c r="H31" s="26" t="s">
        <v>75</v>
      </c>
      <c r="I31" s="26" t="s">
        <v>76</v>
      </c>
      <c r="J31" s="26" t="s">
        <v>297</v>
      </c>
      <c r="K31" s="26" t="s">
        <v>105</v>
      </c>
      <c r="L31" s="26" t="s">
        <v>91</v>
      </c>
      <c r="M31" s="26" t="s">
        <v>106</v>
      </c>
      <c r="N31" s="26" t="s">
        <v>3</v>
      </c>
      <c r="O31" s="28" t="n">
        <v>8300</v>
      </c>
      <c r="P31" s="29" t="n">
        <v>79.8</v>
      </c>
      <c r="Q31" s="26" t="s">
        <v>92</v>
      </c>
      <c r="R31" s="26" t="s">
        <v>81</v>
      </c>
      <c r="S31" s="26" t="s">
        <v>298</v>
      </c>
      <c r="T31" s="26" t="s">
        <v>105</v>
      </c>
    </row>
    <row r="32" customFormat="false" ht="15" hidden="false" customHeight="false" outlineLevel="0" collapsed="false">
      <c r="A32" s="20" t="n">
        <v>300406</v>
      </c>
      <c r="B32" s="21" t="s">
        <v>152</v>
      </c>
      <c r="C32" s="21" t="s">
        <v>72</v>
      </c>
      <c r="D32" s="21" t="s">
        <v>153</v>
      </c>
      <c r="E32" s="21" t="s">
        <v>299</v>
      </c>
      <c r="F32" s="21" t="s">
        <v>300</v>
      </c>
      <c r="G32" s="21" t="s">
        <v>88</v>
      </c>
      <c r="H32" s="21" t="s">
        <v>89</v>
      </c>
      <c r="I32" s="21" t="s">
        <v>76</v>
      </c>
      <c r="J32" s="21" t="s">
        <v>90</v>
      </c>
      <c r="K32" s="21" t="s">
        <v>115</v>
      </c>
      <c r="L32" s="21" t="s">
        <v>115</v>
      </c>
      <c r="M32" s="21" t="s">
        <v>80</v>
      </c>
      <c r="N32" s="21" t="s">
        <v>3</v>
      </c>
      <c r="O32" s="23" t="s">
        <v>301</v>
      </c>
      <c r="P32" s="24" t="n">
        <v>75</v>
      </c>
      <c r="Q32" s="21" t="s">
        <v>92</v>
      </c>
      <c r="R32" s="21" t="s">
        <v>81</v>
      </c>
      <c r="S32" s="21" t="s">
        <v>302</v>
      </c>
      <c r="T32" s="21" t="s">
        <v>162</v>
      </c>
    </row>
    <row r="33" customFormat="false" ht="15" hidden="false" customHeight="false" outlineLevel="0" collapsed="false">
      <c r="A33" s="25" t="n">
        <v>300426</v>
      </c>
      <c r="B33" s="26" t="s">
        <v>196</v>
      </c>
      <c r="C33" s="26" t="s">
        <v>96</v>
      </c>
      <c r="D33" s="26" t="s">
        <v>108</v>
      </c>
      <c r="E33" s="26" t="s">
        <v>303</v>
      </c>
      <c r="F33" s="26" t="s">
        <v>304</v>
      </c>
      <c r="G33" s="26" t="s">
        <v>88</v>
      </c>
      <c r="H33" s="26" t="s">
        <v>89</v>
      </c>
      <c r="I33" s="26" t="s">
        <v>76</v>
      </c>
      <c r="J33" s="26" t="s">
        <v>90</v>
      </c>
      <c r="K33" s="26" t="s">
        <v>114</v>
      </c>
      <c r="L33" s="26" t="s">
        <v>115</v>
      </c>
      <c r="M33" s="26" t="s">
        <v>100</v>
      </c>
      <c r="N33" s="26" t="s">
        <v>148</v>
      </c>
      <c r="O33" s="28" t="n">
        <v>11600</v>
      </c>
      <c r="P33" s="29" t="n">
        <v>112</v>
      </c>
      <c r="Q33" s="26" t="s">
        <v>82</v>
      </c>
      <c r="R33" s="26" t="s">
        <v>81</v>
      </c>
      <c r="S33" s="26" t="s">
        <v>305</v>
      </c>
      <c r="T33" s="26" t="s">
        <v>117</v>
      </c>
    </row>
    <row r="34" customFormat="false" ht="15" hidden="false" customHeight="false" outlineLevel="0" collapsed="false">
      <c r="A34" s="20" t="n">
        <v>300443</v>
      </c>
      <c r="B34" s="21" t="s">
        <v>197</v>
      </c>
      <c r="C34" s="21" t="s">
        <v>96</v>
      </c>
      <c r="D34" s="21" t="s">
        <v>108</v>
      </c>
      <c r="E34" s="21" t="s">
        <v>306</v>
      </c>
      <c r="F34" s="21" t="s">
        <v>307</v>
      </c>
      <c r="G34" s="21" t="s">
        <v>308</v>
      </c>
      <c r="H34" s="21" t="s">
        <v>75</v>
      </c>
      <c r="I34" s="21" t="s">
        <v>76</v>
      </c>
      <c r="J34" s="21" t="s">
        <v>122</v>
      </c>
      <c r="K34" s="21" t="s">
        <v>126</v>
      </c>
      <c r="L34" s="21" t="s">
        <v>79</v>
      </c>
      <c r="M34" s="21" t="s">
        <v>80</v>
      </c>
      <c r="N34" s="21"/>
      <c r="O34" s="23" t="n">
        <v>10800</v>
      </c>
      <c r="P34" s="24" t="n">
        <v>82.7</v>
      </c>
      <c r="Q34" s="21" t="s">
        <v>198</v>
      </c>
      <c r="R34" s="21" t="s">
        <v>81</v>
      </c>
      <c r="S34" s="21" t="s">
        <v>309</v>
      </c>
      <c r="T34" s="21" t="s">
        <v>199</v>
      </c>
    </row>
    <row r="35" customFormat="false" ht="15" hidden="false" customHeight="false" outlineLevel="0" collapsed="false">
      <c r="A35" s="25" t="n">
        <v>300426</v>
      </c>
      <c r="B35" s="26" t="s">
        <v>196</v>
      </c>
      <c r="C35" s="26" t="s">
        <v>96</v>
      </c>
      <c r="D35" s="26" t="s">
        <v>108</v>
      </c>
      <c r="E35" s="26" t="s">
        <v>310</v>
      </c>
      <c r="F35" s="26" t="s">
        <v>304</v>
      </c>
      <c r="G35" s="26" t="s">
        <v>88</v>
      </c>
      <c r="H35" s="26" t="s">
        <v>89</v>
      </c>
      <c r="I35" s="26" t="s">
        <v>76</v>
      </c>
      <c r="J35" s="26" t="s">
        <v>90</v>
      </c>
      <c r="K35" s="26" t="s">
        <v>114</v>
      </c>
      <c r="L35" s="26" t="s">
        <v>115</v>
      </c>
      <c r="M35" s="26" t="s">
        <v>100</v>
      </c>
      <c r="N35" s="26" t="s">
        <v>148</v>
      </c>
      <c r="O35" s="28" t="n">
        <v>11600</v>
      </c>
      <c r="P35" s="29" t="n">
        <v>96.7</v>
      </c>
      <c r="Q35" s="26" t="s">
        <v>82</v>
      </c>
      <c r="R35" s="26" t="s">
        <v>81</v>
      </c>
      <c r="S35" s="26" t="s">
        <v>305</v>
      </c>
      <c r="T35" s="26" t="s">
        <v>117</v>
      </c>
    </row>
    <row r="36" customFormat="false" ht="15" hidden="false" customHeight="false" outlineLevel="0" collapsed="false">
      <c r="A36" s="20" t="n">
        <v>300480</v>
      </c>
      <c r="B36" s="21" t="s">
        <v>181</v>
      </c>
      <c r="C36" s="21" t="s">
        <v>72</v>
      </c>
      <c r="D36" s="21" t="s">
        <v>104</v>
      </c>
      <c r="E36" s="21" t="s">
        <v>311</v>
      </c>
      <c r="F36" s="21" t="s">
        <v>312</v>
      </c>
      <c r="G36" s="21" t="s">
        <v>133</v>
      </c>
      <c r="H36" s="21" t="s">
        <v>134</v>
      </c>
      <c r="I36" s="21" t="s">
        <v>135</v>
      </c>
      <c r="J36" s="21" t="s">
        <v>77</v>
      </c>
      <c r="K36" s="21" t="s">
        <v>164</v>
      </c>
      <c r="L36" s="21" t="s">
        <v>143</v>
      </c>
      <c r="M36" s="21" t="s">
        <v>80</v>
      </c>
      <c r="N36" s="21"/>
      <c r="O36" s="23" t="n">
        <v>25600</v>
      </c>
      <c r="P36" s="24" t="n">
        <v>76.1</v>
      </c>
      <c r="Q36" s="21" t="s">
        <v>82</v>
      </c>
      <c r="R36" s="21" t="s">
        <v>81</v>
      </c>
      <c r="S36" s="21" t="s">
        <v>313</v>
      </c>
      <c r="T36" s="21" t="s">
        <v>202</v>
      </c>
    </row>
    <row r="37" customFormat="false" ht="15" hidden="false" customHeight="false" outlineLevel="0" collapsed="false">
      <c r="A37" s="25" t="n">
        <v>300252</v>
      </c>
      <c r="B37" s="26" t="s">
        <v>103</v>
      </c>
      <c r="C37" s="26" t="s">
        <v>96</v>
      </c>
      <c r="D37" s="26" t="s">
        <v>104</v>
      </c>
      <c r="E37" s="26" t="s">
        <v>314</v>
      </c>
      <c r="F37" s="26" t="s">
        <v>315</v>
      </c>
      <c r="G37" s="26" t="s">
        <v>137</v>
      </c>
      <c r="H37" s="26" t="s">
        <v>89</v>
      </c>
      <c r="I37" s="26" t="s">
        <v>76</v>
      </c>
      <c r="J37" s="26" t="s">
        <v>90</v>
      </c>
      <c r="K37" s="26" t="s">
        <v>115</v>
      </c>
      <c r="L37" s="26" t="s">
        <v>115</v>
      </c>
      <c r="M37" s="26" t="s">
        <v>100</v>
      </c>
      <c r="N37" s="26" t="s">
        <v>3</v>
      </c>
      <c r="O37" s="28" t="n">
        <v>13950</v>
      </c>
      <c r="P37" s="29" t="n">
        <v>80.6</v>
      </c>
      <c r="Q37" s="26" t="s">
        <v>92</v>
      </c>
      <c r="R37" s="26" t="s">
        <v>81</v>
      </c>
      <c r="S37" s="26" t="s">
        <v>316</v>
      </c>
      <c r="T37" s="26" t="s">
        <v>162</v>
      </c>
    </row>
    <row r="38" customFormat="false" ht="15" hidden="false" customHeight="false" outlineLevel="0" collapsed="false">
      <c r="A38" s="20" t="n">
        <v>300186</v>
      </c>
      <c r="B38" s="21" t="s">
        <v>103</v>
      </c>
      <c r="C38" s="21" t="s">
        <v>96</v>
      </c>
      <c r="D38" s="21" t="s">
        <v>104</v>
      </c>
      <c r="E38" s="21" t="s">
        <v>317</v>
      </c>
      <c r="F38" s="21" t="s">
        <v>318</v>
      </c>
      <c r="G38" s="21" t="s">
        <v>88</v>
      </c>
      <c r="H38" s="21" t="s">
        <v>89</v>
      </c>
      <c r="I38" s="21" t="s">
        <v>76</v>
      </c>
      <c r="J38" s="21" t="s">
        <v>122</v>
      </c>
      <c r="K38" s="21" t="s">
        <v>131</v>
      </c>
      <c r="L38" s="21" t="s">
        <v>124</v>
      </c>
      <c r="M38" s="21" t="s">
        <v>80</v>
      </c>
      <c r="N38" s="21" t="s">
        <v>3</v>
      </c>
      <c r="O38" s="23" t="n">
        <v>11600</v>
      </c>
      <c r="P38" s="24" t="n">
        <v>75.7</v>
      </c>
      <c r="Q38" s="21" t="s">
        <v>82</v>
      </c>
      <c r="R38" s="21" t="s">
        <v>81</v>
      </c>
      <c r="S38" s="21" t="s">
        <v>319</v>
      </c>
      <c r="T38" s="21" t="s">
        <v>131</v>
      </c>
    </row>
    <row r="39" customFormat="false" ht="15" hidden="false" customHeight="false" outlineLevel="0" collapsed="false">
      <c r="A39" s="25" t="n">
        <v>300108</v>
      </c>
      <c r="B39" s="26" t="s">
        <v>86</v>
      </c>
      <c r="C39" s="26" t="s">
        <v>72</v>
      </c>
      <c r="D39" s="26" t="s">
        <v>87</v>
      </c>
      <c r="E39" s="26" t="s">
        <v>320</v>
      </c>
      <c r="F39" s="26" t="s">
        <v>321</v>
      </c>
      <c r="G39" s="26" t="s">
        <v>88</v>
      </c>
      <c r="H39" s="26" t="s">
        <v>89</v>
      </c>
      <c r="I39" s="26" t="s">
        <v>76</v>
      </c>
      <c r="J39" s="26" t="s">
        <v>90</v>
      </c>
      <c r="K39" s="26" t="s">
        <v>91</v>
      </c>
      <c r="L39" s="26" t="s">
        <v>91</v>
      </c>
      <c r="M39" s="26" t="s">
        <v>80</v>
      </c>
      <c r="N39" s="26" t="s">
        <v>3</v>
      </c>
      <c r="O39" s="28" t="n">
        <v>11200</v>
      </c>
      <c r="P39" s="29" t="n">
        <v>75.7</v>
      </c>
      <c r="Q39" s="26" t="s">
        <v>92</v>
      </c>
      <c r="R39" s="26" t="s">
        <v>81</v>
      </c>
      <c r="S39" s="26" t="s">
        <v>322</v>
      </c>
      <c r="T39" s="26" t="s">
        <v>94</v>
      </c>
    </row>
    <row r="40" customFormat="false" ht="15" hidden="false" customHeight="false" outlineLevel="0" collapsed="false">
      <c r="A40" s="20" t="n">
        <v>300473</v>
      </c>
      <c r="B40" s="21" t="s">
        <v>201</v>
      </c>
      <c r="C40" s="21" t="s">
        <v>72</v>
      </c>
      <c r="D40" s="21" t="s">
        <v>209</v>
      </c>
      <c r="E40" s="21" t="s">
        <v>323</v>
      </c>
      <c r="F40" s="21" t="s">
        <v>324</v>
      </c>
      <c r="G40" s="21" t="s">
        <v>88</v>
      </c>
      <c r="H40" s="21" t="s">
        <v>89</v>
      </c>
      <c r="I40" s="21" t="s">
        <v>76</v>
      </c>
      <c r="J40" s="21" t="s">
        <v>90</v>
      </c>
      <c r="K40" s="21" t="s">
        <v>91</v>
      </c>
      <c r="L40" s="21" t="s">
        <v>91</v>
      </c>
      <c r="M40" s="21" t="s">
        <v>80</v>
      </c>
      <c r="N40" s="21" t="s">
        <v>3</v>
      </c>
      <c r="O40" s="23" t="n">
        <v>11850</v>
      </c>
      <c r="P40" s="24" t="n">
        <v>93.2</v>
      </c>
      <c r="Q40" s="21" t="s">
        <v>92</v>
      </c>
      <c r="R40" s="21" t="s">
        <v>110</v>
      </c>
      <c r="S40" s="21"/>
      <c r="T40" s="21" t="s">
        <v>94</v>
      </c>
    </row>
    <row r="41" customFormat="false" ht="15" hidden="false" customHeight="false" outlineLevel="0" collapsed="false">
      <c r="A41" s="25" t="n">
        <v>300363</v>
      </c>
      <c r="B41" s="26" t="s">
        <v>187</v>
      </c>
      <c r="C41" s="26" t="s">
        <v>96</v>
      </c>
      <c r="D41" s="26" t="s">
        <v>108</v>
      </c>
      <c r="E41" s="26" t="s">
        <v>325</v>
      </c>
      <c r="F41" s="26" t="s">
        <v>326</v>
      </c>
      <c r="G41" s="26" t="s">
        <v>133</v>
      </c>
      <c r="H41" s="26" t="s">
        <v>134</v>
      </c>
      <c r="I41" s="26" t="s">
        <v>135</v>
      </c>
      <c r="J41" s="26" t="s">
        <v>90</v>
      </c>
      <c r="K41" s="26" t="s">
        <v>105</v>
      </c>
      <c r="L41" s="26" t="s">
        <v>91</v>
      </c>
      <c r="M41" s="26" t="s">
        <v>80</v>
      </c>
      <c r="N41" s="26"/>
      <c r="O41" s="28" t="n">
        <v>11200</v>
      </c>
      <c r="P41" s="29" t="n">
        <v>80.1</v>
      </c>
      <c r="Q41" s="26" t="s">
        <v>82</v>
      </c>
      <c r="R41" s="26" t="s">
        <v>81</v>
      </c>
      <c r="S41" s="26" t="s">
        <v>327</v>
      </c>
      <c r="T41" s="26" t="s">
        <v>120</v>
      </c>
    </row>
    <row r="42" customFormat="false" ht="15" hidden="false" customHeight="false" outlineLevel="0" collapsed="false">
      <c r="A42" s="20" t="n">
        <v>300131</v>
      </c>
      <c r="B42" s="21" t="s">
        <v>107</v>
      </c>
      <c r="C42" s="21" t="s">
        <v>96</v>
      </c>
      <c r="D42" s="21" t="s">
        <v>108</v>
      </c>
      <c r="E42" s="21" t="s">
        <v>328</v>
      </c>
      <c r="F42" s="21" t="s">
        <v>329</v>
      </c>
      <c r="G42" s="21" t="s">
        <v>220</v>
      </c>
      <c r="H42" s="21" t="s">
        <v>75</v>
      </c>
      <c r="I42" s="21" t="s">
        <v>76</v>
      </c>
      <c r="J42" s="21" t="s">
        <v>90</v>
      </c>
      <c r="K42" s="21" t="s">
        <v>91</v>
      </c>
      <c r="L42" s="21" t="s">
        <v>91</v>
      </c>
      <c r="M42" s="21" t="s">
        <v>100</v>
      </c>
      <c r="N42" s="21" t="s">
        <v>109</v>
      </c>
      <c r="O42" s="23" t="n">
        <v>9700</v>
      </c>
      <c r="P42" s="24" t="n">
        <v>94.6</v>
      </c>
      <c r="Q42" s="21" t="s">
        <v>92</v>
      </c>
      <c r="R42" s="21" t="s">
        <v>110</v>
      </c>
      <c r="S42" s="21"/>
      <c r="T42" s="21" t="s">
        <v>94</v>
      </c>
    </row>
    <row r="43" customFormat="false" ht="15" hidden="false" customHeight="false" outlineLevel="0" collapsed="false">
      <c r="A43" s="25" t="n">
        <v>300344</v>
      </c>
      <c r="B43" s="26" t="s">
        <v>182</v>
      </c>
      <c r="C43" s="26" t="s">
        <v>96</v>
      </c>
      <c r="D43" s="26" t="s">
        <v>108</v>
      </c>
      <c r="E43" s="26" t="s">
        <v>330</v>
      </c>
      <c r="F43" s="26" t="s">
        <v>331</v>
      </c>
      <c r="G43" s="26" t="s">
        <v>137</v>
      </c>
      <c r="H43" s="26" t="s">
        <v>89</v>
      </c>
      <c r="I43" s="26" t="s">
        <v>76</v>
      </c>
      <c r="J43" s="26" t="s">
        <v>284</v>
      </c>
      <c r="K43" s="26" t="s">
        <v>183</v>
      </c>
      <c r="L43" s="26" t="s">
        <v>79</v>
      </c>
      <c r="M43" s="26" t="s">
        <v>80</v>
      </c>
      <c r="N43" s="26" t="s">
        <v>3</v>
      </c>
      <c r="O43" s="28" t="s">
        <v>332</v>
      </c>
      <c r="P43" s="29" t="n">
        <v>88.3</v>
      </c>
      <c r="Q43" s="26" t="s">
        <v>82</v>
      </c>
      <c r="R43" s="26" t="s">
        <v>81</v>
      </c>
      <c r="S43" s="26" t="s">
        <v>333</v>
      </c>
      <c r="T43" s="26" t="s">
        <v>183</v>
      </c>
    </row>
    <row r="44" customFormat="false" ht="15" hidden="false" customHeight="false" outlineLevel="0" collapsed="false">
      <c r="A44" s="20" t="n">
        <v>300317</v>
      </c>
      <c r="B44" s="21" t="s">
        <v>176</v>
      </c>
      <c r="C44" s="21" t="s">
        <v>230</v>
      </c>
      <c r="D44" s="21" t="s">
        <v>209</v>
      </c>
      <c r="E44" s="21" t="s">
        <v>334</v>
      </c>
      <c r="F44" s="21" t="s">
        <v>335</v>
      </c>
      <c r="G44" s="21" t="s">
        <v>88</v>
      </c>
      <c r="H44" s="21" t="s">
        <v>89</v>
      </c>
      <c r="I44" s="21" t="s">
        <v>76</v>
      </c>
      <c r="J44" s="21" t="s">
        <v>284</v>
      </c>
      <c r="K44" s="21" t="s">
        <v>98</v>
      </c>
      <c r="L44" s="21" t="s">
        <v>99</v>
      </c>
      <c r="M44" s="21" t="s">
        <v>80</v>
      </c>
      <c r="N44" s="21" t="s">
        <v>3</v>
      </c>
      <c r="O44" s="23" t="n">
        <v>6700</v>
      </c>
      <c r="P44" s="24" t="n">
        <v>69.3</v>
      </c>
      <c r="Q44" s="21" t="s">
        <v>116</v>
      </c>
      <c r="R44" s="21" t="s">
        <v>101</v>
      </c>
      <c r="S44" s="21"/>
      <c r="T44" s="21" t="s">
        <v>177</v>
      </c>
    </row>
    <row r="45" customFormat="false" ht="15" hidden="false" customHeight="false" outlineLevel="0" collapsed="false">
      <c r="A45" s="25" t="n">
        <v>300286</v>
      </c>
      <c r="B45" s="26" t="s">
        <v>172</v>
      </c>
      <c r="C45" s="26" t="s">
        <v>72</v>
      </c>
      <c r="D45" s="26" t="s">
        <v>261</v>
      </c>
      <c r="E45" s="26" t="s">
        <v>336</v>
      </c>
      <c r="F45" s="26" t="s">
        <v>337</v>
      </c>
      <c r="G45" s="26" t="s">
        <v>296</v>
      </c>
      <c r="H45" s="26" t="s">
        <v>75</v>
      </c>
      <c r="I45" s="26" t="s">
        <v>76</v>
      </c>
      <c r="J45" s="26" t="s">
        <v>159</v>
      </c>
      <c r="K45" s="26" t="s">
        <v>173</v>
      </c>
      <c r="L45" s="26" t="s">
        <v>161</v>
      </c>
      <c r="M45" s="26" t="s">
        <v>80</v>
      </c>
      <c r="N45" s="26" t="s">
        <v>3</v>
      </c>
      <c r="O45" s="28" t="s">
        <v>338</v>
      </c>
      <c r="P45" s="29" t="n">
        <v>92.7</v>
      </c>
      <c r="Q45" s="26" t="s">
        <v>92</v>
      </c>
      <c r="R45" s="26" t="s">
        <v>101</v>
      </c>
      <c r="S45" s="26"/>
      <c r="T45" s="26" t="s">
        <v>173</v>
      </c>
    </row>
    <row r="46" customFormat="false" ht="15" hidden="false" customHeight="false" outlineLevel="0" collapsed="false">
      <c r="A46" s="20" t="n">
        <v>300241</v>
      </c>
      <c r="B46" s="21" t="s">
        <v>154</v>
      </c>
      <c r="C46" s="21" t="s">
        <v>96</v>
      </c>
      <c r="D46" s="21" t="s">
        <v>155</v>
      </c>
      <c r="E46" s="21" t="s">
        <v>339</v>
      </c>
      <c r="F46" s="21" t="s">
        <v>340</v>
      </c>
      <c r="G46" s="21" t="s">
        <v>220</v>
      </c>
      <c r="H46" s="21" t="s">
        <v>75</v>
      </c>
      <c r="I46" s="21" t="s">
        <v>76</v>
      </c>
      <c r="J46" s="21" t="s">
        <v>90</v>
      </c>
      <c r="K46" s="21" t="s">
        <v>156</v>
      </c>
      <c r="L46" s="21" t="s">
        <v>91</v>
      </c>
      <c r="M46" s="21" t="s">
        <v>80</v>
      </c>
      <c r="N46" s="21" t="s">
        <v>148</v>
      </c>
      <c r="O46" s="23" t="n">
        <v>8550</v>
      </c>
      <c r="P46" s="24" t="n">
        <v>80.5</v>
      </c>
      <c r="Q46" s="21" t="s">
        <v>82</v>
      </c>
      <c r="R46" s="21" t="s">
        <v>81</v>
      </c>
      <c r="S46" s="21" t="s">
        <v>341</v>
      </c>
      <c r="T46" s="21" t="s">
        <v>157</v>
      </c>
    </row>
    <row r="47" customFormat="false" ht="15" hidden="false" customHeight="false" outlineLevel="0" collapsed="false">
      <c r="A47" s="25" t="n">
        <v>300162</v>
      </c>
      <c r="B47" s="26" t="s">
        <v>121</v>
      </c>
      <c r="C47" s="26" t="s">
        <v>96</v>
      </c>
      <c r="D47" s="26" t="s">
        <v>108</v>
      </c>
      <c r="E47" s="26" t="s">
        <v>342</v>
      </c>
      <c r="F47" s="26" t="s">
        <v>343</v>
      </c>
      <c r="G47" s="26" t="s">
        <v>88</v>
      </c>
      <c r="H47" s="26" t="s">
        <v>89</v>
      </c>
      <c r="I47" s="26" t="s">
        <v>76</v>
      </c>
      <c r="J47" s="26" t="s">
        <v>284</v>
      </c>
      <c r="K47" s="26" t="s">
        <v>123</v>
      </c>
      <c r="L47" s="26" t="s">
        <v>124</v>
      </c>
      <c r="M47" s="26" t="s">
        <v>80</v>
      </c>
      <c r="N47" s="26" t="s">
        <v>3</v>
      </c>
      <c r="O47" s="28" t="n">
        <v>12000</v>
      </c>
      <c r="P47" s="29" t="n">
        <v>78.9</v>
      </c>
      <c r="Q47" s="26" t="s">
        <v>116</v>
      </c>
      <c r="R47" s="26" t="s">
        <v>110</v>
      </c>
      <c r="S47" s="26"/>
      <c r="T47" s="26" t="s">
        <v>123</v>
      </c>
    </row>
    <row r="48" customFormat="false" ht="15" hidden="false" customHeight="false" outlineLevel="0" collapsed="false">
      <c r="A48" s="20" t="n">
        <v>300351</v>
      </c>
      <c r="B48" s="21" t="s">
        <v>184</v>
      </c>
      <c r="C48" s="21" t="s">
        <v>237</v>
      </c>
      <c r="D48" s="21" t="s">
        <v>108</v>
      </c>
      <c r="E48" s="21" t="s">
        <v>344</v>
      </c>
      <c r="F48" s="21" t="s">
        <v>345</v>
      </c>
      <c r="G48" s="21" t="s">
        <v>308</v>
      </c>
      <c r="H48" s="21" t="s">
        <v>75</v>
      </c>
      <c r="I48" s="21" t="s">
        <v>76</v>
      </c>
      <c r="J48" s="21" t="s">
        <v>284</v>
      </c>
      <c r="K48" s="21" t="s">
        <v>185</v>
      </c>
      <c r="L48" s="21" t="s">
        <v>79</v>
      </c>
      <c r="M48" s="21" t="s">
        <v>147</v>
      </c>
      <c r="N48" s="21" t="s">
        <v>3</v>
      </c>
      <c r="O48" s="23" t="n">
        <v>9800</v>
      </c>
      <c r="P48" s="24" t="n">
        <v>92.1</v>
      </c>
      <c r="Q48" s="21" t="s">
        <v>82</v>
      </c>
      <c r="R48" s="21" t="s">
        <v>81</v>
      </c>
      <c r="S48" s="21" t="s">
        <v>346</v>
      </c>
      <c r="T48" s="21" t="s">
        <v>185</v>
      </c>
    </row>
    <row r="49" customFormat="false" ht="15" hidden="false" customHeight="false" outlineLevel="0" collapsed="false">
      <c r="A49" s="25" t="n">
        <v>300204</v>
      </c>
      <c r="B49" s="26" t="s">
        <v>86</v>
      </c>
      <c r="C49" s="26" t="s">
        <v>72</v>
      </c>
      <c r="D49" s="26" t="s">
        <v>87</v>
      </c>
      <c r="E49" s="26" t="s">
        <v>347</v>
      </c>
      <c r="F49" s="26" t="s">
        <v>348</v>
      </c>
      <c r="G49" s="26" t="s">
        <v>349</v>
      </c>
      <c r="H49" s="26" t="s">
        <v>89</v>
      </c>
      <c r="I49" s="26" t="s">
        <v>76</v>
      </c>
      <c r="J49" s="26" t="s">
        <v>284</v>
      </c>
      <c r="K49" s="26" t="s">
        <v>138</v>
      </c>
      <c r="L49" s="26" t="s">
        <v>99</v>
      </c>
      <c r="M49" s="26" t="s">
        <v>80</v>
      </c>
      <c r="N49" s="26" t="s">
        <v>3</v>
      </c>
      <c r="O49" s="28" t="n">
        <v>6500</v>
      </c>
      <c r="P49" s="29" t="n">
        <v>94.8</v>
      </c>
      <c r="Q49" s="26" t="s">
        <v>116</v>
      </c>
      <c r="R49" s="26" t="s">
        <v>101</v>
      </c>
      <c r="S49" s="26"/>
      <c r="T49" s="26" t="s">
        <v>139</v>
      </c>
    </row>
    <row r="50" customFormat="false" ht="15" hidden="false" customHeight="false" outlineLevel="0" collapsed="false">
      <c r="A50" s="20" t="n">
        <v>300214</v>
      </c>
      <c r="B50" s="21" t="s">
        <v>141</v>
      </c>
      <c r="C50" s="21" t="s">
        <v>96</v>
      </c>
      <c r="D50" s="21" t="s">
        <v>108</v>
      </c>
      <c r="E50" s="21" t="s">
        <v>350</v>
      </c>
      <c r="F50" s="21" t="s">
        <v>351</v>
      </c>
      <c r="G50" s="21" t="s">
        <v>220</v>
      </c>
      <c r="H50" s="21" t="s">
        <v>75</v>
      </c>
      <c r="I50" s="21" t="s">
        <v>76</v>
      </c>
      <c r="J50" s="21" t="s">
        <v>284</v>
      </c>
      <c r="K50" s="21" t="s">
        <v>120</v>
      </c>
      <c r="L50" s="21" t="s">
        <v>99</v>
      </c>
      <c r="M50" s="21" t="s">
        <v>80</v>
      </c>
      <c r="N50" s="21" t="s">
        <v>3</v>
      </c>
      <c r="O50" s="23" t="s">
        <v>352</v>
      </c>
      <c r="P50" s="24" t="n">
        <v>98</v>
      </c>
      <c r="Q50" s="21" t="s">
        <v>82</v>
      </c>
      <c r="R50" s="21" t="s">
        <v>101</v>
      </c>
      <c r="S50" s="21"/>
      <c r="T50" s="21" t="s">
        <v>120</v>
      </c>
    </row>
    <row r="51" customFormat="false" ht="15" hidden="false" customHeight="false" outlineLevel="0" collapsed="false">
      <c r="A51" s="25" t="n">
        <v>300235</v>
      </c>
      <c r="B51" s="26" t="s">
        <v>152</v>
      </c>
      <c r="C51" s="26" t="s">
        <v>353</v>
      </c>
      <c r="D51" s="26" t="s">
        <v>153</v>
      </c>
      <c r="E51" s="26" t="s">
        <v>354</v>
      </c>
      <c r="F51" s="26" t="s">
        <v>355</v>
      </c>
      <c r="G51" s="26" t="s">
        <v>88</v>
      </c>
      <c r="H51" s="26" t="s">
        <v>89</v>
      </c>
      <c r="I51" s="26" t="s">
        <v>76</v>
      </c>
      <c r="J51" s="26" t="s">
        <v>284</v>
      </c>
      <c r="K51" s="26" t="s">
        <v>138</v>
      </c>
      <c r="L51" s="26" t="s">
        <v>99</v>
      </c>
      <c r="M51" s="26" t="s">
        <v>147</v>
      </c>
      <c r="N51" s="26" t="s">
        <v>3</v>
      </c>
      <c r="O51" s="28" t="s">
        <v>356</v>
      </c>
      <c r="P51" s="29" t="n">
        <v>72.1</v>
      </c>
      <c r="Q51" s="26" t="s">
        <v>82</v>
      </c>
      <c r="R51" s="26" t="s">
        <v>101</v>
      </c>
      <c r="S51" s="26"/>
      <c r="T51" s="26" t="s">
        <v>138</v>
      </c>
    </row>
    <row r="52" customFormat="false" ht="15" hidden="false" customHeight="false" outlineLevel="0" collapsed="false">
      <c r="A52" s="20" t="n">
        <v>300312</v>
      </c>
      <c r="B52" s="21" t="s">
        <v>175</v>
      </c>
      <c r="C52" s="21" t="s">
        <v>72</v>
      </c>
      <c r="D52" s="21" t="s">
        <v>209</v>
      </c>
      <c r="E52" s="21" t="s">
        <v>357</v>
      </c>
      <c r="F52" s="21" t="s">
        <v>358</v>
      </c>
      <c r="G52" s="21" t="s">
        <v>88</v>
      </c>
      <c r="H52" s="21" t="s">
        <v>89</v>
      </c>
      <c r="I52" s="21" t="s">
        <v>76</v>
      </c>
      <c r="J52" s="21" t="s">
        <v>90</v>
      </c>
      <c r="K52" s="21" t="s">
        <v>115</v>
      </c>
      <c r="L52" s="21" t="s">
        <v>115</v>
      </c>
      <c r="M52" s="21" t="s">
        <v>80</v>
      </c>
      <c r="N52" s="21"/>
      <c r="O52" s="23" t="n">
        <v>11250</v>
      </c>
      <c r="P52" s="24" t="n">
        <v>83.5</v>
      </c>
      <c r="Q52" s="21" t="s">
        <v>116</v>
      </c>
      <c r="R52" s="21" t="s">
        <v>81</v>
      </c>
      <c r="S52" s="21" t="s">
        <v>359</v>
      </c>
      <c r="T52" s="21" t="s">
        <v>162</v>
      </c>
    </row>
    <row r="53" customFormat="false" ht="15" hidden="false" customHeight="false" outlineLevel="0" collapsed="false">
      <c r="A53" s="25" t="n">
        <v>300227</v>
      </c>
      <c r="B53" s="26" t="s">
        <v>149</v>
      </c>
      <c r="C53" s="26" t="s">
        <v>96</v>
      </c>
      <c r="D53" s="26" t="s">
        <v>108</v>
      </c>
      <c r="E53" s="26" t="s">
        <v>360</v>
      </c>
      <c r="F53" s="26" t="s">
        <v>361</v>
      </c>
      <c r="G53" s="26" t="s">
        <v>220</v>
      </c>
      <c r="H53" s="26" t="s">
        <v>75</v>
      </c>
      <c r="I53" s="26" t="s">
        <v>76</v>
      </c>
      <c r="J53" s="26" t="s">
        <v>122</v>
      </c>
      <c r="K53" s="26" t="s">
        <v>131</v>
      </c>
      <c r="L53" s="26" t="s">
        <v>124</v>
      </c>
      <c r="M53" s="26" t="s">
        <v>80</v>
      </c>
      <c r="N53" s="26"/>
      <c r="O53" s="28" t="n">
        <v>7450</v>
      </c>
      <c r="P53" s="29" t="n">
        <v>89.3</v>
      </c>
      <c r="Q53" s="26" t="s">
        <v>92</v>
      </c>
      <c r="R53" s="26" t="s">
        <v>81</v>
      </c>
      <c r="S53" s="26" t="s">
        <v>362</v>
      </c>
      <c r="T53" s="26" t="s">
        <v>150</v>
      </c>
    </row>
    <row r="54" customFormat="false" ht="15" hidden="false" customHeight="false" outlineLevel="0" collapsed="false">
      <c r="A54" s="20" t="n">
        <v>300294</v>
      </c>
      <c r="B54" s="21" t="s">
        <v>168</v>
      </c>
      <c r="C54" s="21" t="s">
        <v>96</v>
      </c>
      <c r="D54" s="21" t="s">
        <v>169</v>
      </c>
      <c r="E54" s="21" t="s">
        <v>363</v>
      </c>
      <c r="F54" s="21" t="s">
        <v>364</v>
      </c>
      <c r="G54" s="21" t="s">
        <v>220</v>
      </c>
      <c r="H54" s="21" t="s">
        <v>75</v>
      </c>
      <c r="I54" s="21" t="s">
        <v>76</v>
      </c>
      <c r="J54" s="21" t="s">
        <v>90</v>
      </c>
      <c r="K54" s="21" t="s">
        <v>91</v>
      </c>
      <c r="L54" s="21" t="s">
        <v>91</v>
      </c>
      <c r="M54" s="21" t="s">
        <v>106</v>
      </c>
      <c r="N54" s="21" t="s">
        <v>3</v>
      </c>
      <c r="O54" s="23" t="n">
        <v>12150</v>
      </c>
      <c r="P54" s="24" t="n">
        <v>84.5</v>
      </c>
      <c r="Q54" s="21" t="s">
        <v>116</v>
      </c>
      <c r="R54" s="21" t="s">
        <v>81</v>
      </c>
      <c r="S54" s="21" t="s">
        <v>365</v>
      </c>
      <c r="T54" s="21" t="s">
        <v>94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3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76953125" defaultRowHeight="15" zeroHeight="false" outlineLevelRow="0" outlineLevelCol="0"/>
  <cols>
    <col collapsed="false" customWidth="true" hidden="false" outlineLevel="0" max="1" min="1" style="1" width="18.92"/>
    <col collapsed="false" customWidth="true" hidden="false" outlineLevel="0" max="2" min="2" style="1" width="20.18"/>
    <col collapsed="false" customWidth="true" hidden="false" outlineLevel="0" max="3" min="3" style="1" width="27.75"/>
    <col collapsed="false" customWidth="true" hidden="false" outlineLevel="0" max="4" min="4" style="1" width="12.61"/>
    <col collapsed="false" customWidth="true" hidden="false" outlineLevel="0" max="5" min="5" style="1" width="40.36"/>
    <col collapsed="false" customWidth="true" hidden="false" outlineLevel="0" max="7" min="6" style="1" width="60.54"/>
  </cols>
  <sheetData>
    <row r="1" customFormat="false" ht="30" hidden="false" customHeight="true" outlineLevel="0" collapsed="false">
      <c r="A1" s="19" t="s">
        <v>40</v>
      </c>
      <c r="B1" s="19" t="s">
        <v>41</v>
      </c>
      <c r="C1" s="19" t="s">
        <v>366</v>
      </c>
      <c r="D1" s="19" t="s">
        <v>367</v>
      </c>
      <c r="E1" s="19" t="s">
        <v>368</v>
      </c>
      <c r="F1" s="19" t="s">
        <v>369</v>
      </c>
      <c r="G1" s="19" t="s">
        <v>370</v>
      </c>
    </row>
    <row r="2" customFormat="false" ht="15" hidden="false" customHeight="false" outlineLevel="0" collapsed="false">
      <c r="A2" s="20" t="n">
        <v>300105</v>
      </c>
      <c r="B2" s="21" t="s">
        <v>71</v>
      </c>
      <c r="C2" s="21" t="s">
        <v>371</v>
      </c>
      <c r="D2" s="21" t="s">
        <v>372</v>
      </c>
      <c r="E2" s="21" t="s">
        <v>373</v>
      </c>
      <c r="F2" s="15" t="s">
        <v>374</v>
      </c>
      <c r="G2" s="15" t="s">
        <v>375</v>
      </c>
    </row>
    <row r="3" customFormat="false" ht="15" hidden="false" customHeight="false" outlineLevel="0" collapsed="false">
      <c r="A3" s="25" t="n">
        <v>300131</v>
      </c>
      <c r="B3" s="26" t="s">
        <v>107</v>
      </c>
      <c r="C3" s="26" t="s">
        <v>376</v>
      </c>
      <c r="D3" s="26" t="s">
        <v>377</v>
      </c>
      <c r="E3" s="26" t="s">
        <v>112</v>
      </c>
      <c r="F3" s="30" t="s">
        <v>378</v>
      </c>
      <c r="G3" s="30" t="s">
        <v>379</v>
      </c>
    </row>
    <row r="4" customFormat="false" ht="15" hidden="false" customHeight="false" outlineLevel="0" collapsed="false">
      <c r="A4" s="20" t="n">
        <v>300142</v>
      </c>
      <c r="B4" s="21" t="s">
        <v>113</v>
      </c>
      <c r="C4" s="21" t="s">
        <v>371</v>
      </c>
      <c r="D4" s="21" t="s">
        <v>372</v>
      </c>
      <c r="E4" s="21" t="s">
        <v>373</v>
      </c>
      <c r="F4" s="15" t="s">
        <v>380</v>
      </c>
      <c r="G4" s="15" t="s">
        <v>375</v>
      </c>
    </row>
    <row r="5" customFormat="false" ht="15" hidden="false" customHeight="false" outlineLevel="0" collapsed="false">
      <c r="A5" s="25" t="n">
        <v>300162</v>
      </c>
      <c r="B5" s="26" t="s">
        <v>121</v>
      </c>
      <c r="C5" s="26" t="s">
        <v>376</v>
      </c>
      <c r="D5" s="26" t="s">
        <v>377</v>
      </c>
      <c r="E5" s="26" t="s">
        <v>112</v>
      </c>
      <c r="F5" s="30" t="s">
        <v>381</v>
      </c>
      <c r="G5" s="30" t="s">
        <v>379</v>
      </c>
    </row>
    <row r="6" customFormat="false" ht="15" hidden="false" customHeight="false" outlineLevel="0" collapsed="false">
      <c r="A6" s="20" t="n">
        <v>300169</v>
      </c>
      <c r="B6" s="21" t="s">
        <v>125</v>
      </c>
      <c r="C6" s="21" t="s">
        <v>382</v>
      </c>
      <c r="D6" s="21" t="s">
        <v>383</v>
      </c>
      <c r="E6" s="21" t="s">
        <v>8</v>
      </c>
      <c r="F6" s="15" t="s">
        <v>384</v>
      </c>
      <c r="G6" s="15" t="s">
        <v>385</v>
      </c>
    </row>
    <row r="7" customFormat="false" ht="15" hidden="false" customHeight="false" outlineLevel="0" collapsed="false">
      <c r="A7" s="25" t="n">
        <v>300177</v>
      </c>
      <c r="B7" s="26" t="s">
        <v>129</v>
      </c>
      <c r="C7" s="26" t="s">
        <v>382</v>
      </c>
      <c r="D7" s="26" t="s">
        <v>383</v>
      </c>
      <c r="E7" s="26" t="s">
        <v>386</v>
      </c>
      <c r="F7" s="30" t="s">
        <v>387</v>
      </c>
      <c r="G7" s="30" t="s">
        <v>388</v>
      </c>
    </row>
    <row r="8" customFormat="false" ht="15" hidden="false" customHeight="false" outlineLevel="0" collapsed="false">
      <c r="A8" s="20" t="n">
        <v>300204</v>
      </c>
      <c r="B8" s="21" t="s">
        <v>86</v>
      </c>
      <c r="C8" s="21" t="s">
        <v>389</v>
      </c>
      <c r="D8" s="21" t="s">
        <v>383</v>
      </c>
      <c r="E8" s="21" t="s">
        <v>390</v>
      </c>
      <c r="F8" s="15" t="s">
        <v>391</v>
      </c>
      <c r="G8" s="15" t="s">
        <v>392</v>
      </c>
    </row>
    <row r="9" customFormat="false" ht="15" hidden="false" customHeight="false" outlineLevel="0" collapsed="false">
      <c r="A9" s="25" t="n">
        <v>300217</v>
      </c>
      <c r="B9" s="26" t="s">
        <v>142</v>
      </c>
      <c r="C9" s="26" t="s">
        <v>382</v>
      </c>
      <c r="D9" s="26" t="s">
        <v>383</v>
      </c>
      <c r="E9" s="26" t="s">
        <v>393</v>
      </c>
      <c r="F9" s="30" t="s">
        <v>394</v>
      </c>
      <c r="G9" s="30" t="s">
        <v>395</v>
      </c>
    </row>
    <row r="10" customFormat="false" ht="15" hidden="false" customHeight="false" outlineLevel="0" collapsed="false">
      <c r="A10" s="20" t="n">
        <v>300217</v>
      </c>
      <c r="B10" s="21" t="s">
        <v>142</v>
      </c>
      <c r="C10" s="21" t="s">
        <v>389</v>
      </c>
      <c r="D10" s="21" t="s">
        <v>383</v>
      </c>
      <c r="E10" s="21" t="s">
        <v>390</v>
      </c>
      <c r="F10" s="15" t="s">
        <v>396</v>
      </c>
      <c r="G10" s="15" t="s">
        <v>392</v>
      </c>
    </row>
    <row r="11" customFormat="false" ht="15" hidden="false" customHeight="false" outlineLevel="0" collapsed="false">
      <c r="A11" s="25" t="n">
        <v>300217</v>
      </c>
      <c r="B11" s="26" t="s">
        <v>142</v>
      </c>
      <c r="C11" s="26" t="s">
        <v>371</v>
      </c>
      <c r="D11" s="26" t="s">
        <v>372</v>
      </c>
      <c r="E11" s="26" t="s">
        <v>373</v>
      </c>
      <c r="F11" s="30" t="s">
        <v>397</v>
      </c>
      <c r="G11" s="30" t="s">
        <v>375</v>
      </c>
    </row>
    <row r="12" customFormat="false" ht="15" hidden="false" customHeight="false" outlineLevel="0" collapsed="false">
      <c r="A12" s="20" t="n">
        <v>300227</v>
      </c>
      <c r="B12" s="21" t="s">
        <v>149</v>
      </c>
      <c r="C12" s="21" t="s">
        <v>382</v>
      </c>
      <c r="D12" s="21" t="s">
        <v>383</v>
      </c>
      <c r="E12" s="21" t="s">
        <v>8</v>
      </c>
      <c r="F12" s="15" t="s">
        <v>384</v>
      </c>
      <c r="G12" s="15" t="s">
        <v>385</v>
      </c>
    </row>
    <row r="13" customFormat="false" ht="15" hidden="false" customHeight="false" outlineLevel="0" collapsed="false">
      <c r="A13" s="25" t="n">
        <v>300227</v>
      </c>
      <c r="B13" s="26" t="s">
        <v>149</v>
      </c>
      <c r="C13" s="26" t="s">
        <v>389</v>
      </c>
      <c r="D13" s="26" t="s">
        <v>383</v>
      </c>
      <c r="E13" s="26" t="s">
        <v>390</v>
      </c>
      <c r="F13" s="30" t="s">
        <v>398</v>
      </c>
      <c r="G13" s="30" t="s">
        <v>392</v>
      </c>
    </row>
    <row r="14" customFormat="false" ht="15" hidden="false" customHeight="false" outlineLevel="0" collapsed="false">
      <c r="A14" s="20" t="n">
        <v>300252</v>
      </c>
      <c r="B14" s="21" t="s">
        <v>103</v>
      </c>
      <c r="C14" s="21" t="s">
        <v>371</v>
      </c>
      <c r="D14" s="21" t="s">
        <v>372</v>
      </c>
      <c r="E14" s="21" t="s">
        <v>373</v>
      </c>
      <c r="F14" s="15" t="s">
        <v>399</v>
      </c>
      <c r="G14" s="15" t="s">
        <v>375</v>
      </c>
    </row>
    <row r="15" customFormat="false" ht="15" hidden="false" customHeight="false" outlineLevel="0" collapsed="false">
      <c r="A15" s="25" t="n">
        <v>300257</v>
      </c>
      <c r="B15" s="26" t="s">
        <v>163</v>
      </c>
      <c r="C15" s="26" t="s">
        <v>371</v>
      </c>
      <c r="D15" s="26" t="s">
        <v>372</v>
      </c>
      <c r="E15" s="26" t="s">
        <v>373</v>
      </c>
      <c r="F15" s="30" t="s">
        <v>400</v>
      </c>
      <c r="G15" s="30" t="s">
        <v>375</v>
      </c>
    </row>
    <row r="16" customFormat="false" ht="15" hidden="false" customHeight="false" outlineLevel="0" collapsed="false">
      <c r="A16" s="20" t="n">
        <v>300267</v>
      </c>
      <c r="B16" s="21" t="s">
        <v>166</v>
      </c>
      <c r="C16" s="21" t="s">
        <v>382</v>
      </c>
      <c r="D16" s="21" t="s">
        <v>383</v>
      </c>
      <c r="E16" s="21" t="s">
        <v>8</v>
      </c>
      <c r="F16" s="15" t="s">
        <v>384</v>
      </c>
      <c r="G16" s="15" t="s">
        <v>385</v>
      </c>
    </row>
    <row r="17" customFormat="false" ht="15" hidden="false" customHeight="false" outlineLevel="0" collapsed="false">
      <c r="A17" s="25" t="n">
        <v>300279</v>
      </c>
      <c r="B17" s="26" t="s">
        <v>168</v>
      </c>
      <c r="C17" s="26" t="s">
        <v>382</v>
      </c>
      <c r="D17" s="26" t="s">
        <v>383</v>
      </c>
      <c r="E17" s="26" t="s">
        <v>401</v>
      </c>
      <c r="F17" s="30" t="s">
        <v>402</v>
      </c>
      <c r="G17" s="30" t="s">
        <v>403</v>
      </c>
    </row>
    <row r="18" customFormat="false" ht="15" hidden="false" customHeight="false" outlineLevel="0" collapsed="false">
      <c r="A18" s="20" t="n">
        <v>300279</v>
      </c>
      <c r="B18" s="21" t="s">
        <v>168</v>
      </c>
      <c r="C18" s="21" t="s">
        <v>371</v>
      </c>
      <c r="D18" s="21" t="s">
        <v>383</v>
      </c>
      <c r="E18" s="21" t="s">
        <v>10</v>
      </c>
      <c r="F18" s="15" t="s">
        <v>404</v>
      </c>
      <c r="G18" s="15" t="s">
        <v>405</v>
      </c>
    </row>
    <row r="19" customFormat="false" ht="15" hidden="false" customHeight="false" outlineLevel="0" collapsed="false">
      <c r="A19" s="25" t="n">
        <v>300304</v>
      </c>
      <c r="B19" s="26" t="s">
        <v>174</v>
      </c>
      <c r="C19" s="26" t="s">
        <v>382</v>
      </c>
      <c r="D19" s="26" t="s">
        <v>383</v>
      </c>
      <c r="E19" s="26" t="s">
        <v>8</v>
      </c>
      <c r="F19" s="30" t="s">
        <v>384</v>
      </c>
      <c r="G19" s="30" t="s">
        <v>385</v>
      </c>
    </row>
    <row r="20" customFormat="false" ht="15" hidden="false" customHeight="false" outlineLevel="0" collapsed="false">
      <c r="A20" s="20" t="n">
        <v>300304</v>
      </c>
      <c r="B20" s="21" t="s">
        <v>174</v>
      </c>
      <c r="C20" s="21" t="s">
        <v>371</v>
      </c>
      <c r="D20" s="21" t="s">
        <v>383</v>
      </c>
      <c r="E20" s="21" t="s">
        <v>373</v>
      </c>
      <c r="F20" s="15" t="s">
        <v>406</v>
      </c>
      <c r="G20" s="15" t="s">
        <v>375</v>
      </c>
    </row>
    <row r="21" customFormat="false" ht="15" hidden="false" customHeight="false" outlineLevel="0" collapsed="false">
      <c r="A21" s="25" t="n">
        <v>300312</v>
      </c>
      <c r="B21" s="26" t="s">
        <v>175</v>
      </c>
      <c r="C21" s="26" t="s">
        <v>382</v>
      </c>
      <c r="D21" s="26" t="s">
        <v>383</v>
      </c>
      <c r="E21" s="26" t="s">
        <v>8</v>
      </c>
      <c r="F21" s="30" t="s">
        <v>384</v>
      </c>
      <c r="G21" s="30" t="s">
        <v>385</v>
      </c>
    </row>
    <row r="22" customFormat="false" ht="15" hidden="false" customHeight="false" outlineLevel="0" collapsed="false">
      <c r="A22" s="20" t="n">
        <v>300312</v>
      </c>
      <c r="B22" s="21" t="s">
        <v>175</v>
      </c>
      <c r="C22" s="21" t="s">
        <v>371</v>
      </c>
      <c r="D22" s="21" t="s">
        <v>383</v>
      </c>
      <c r="E22" s="21" t="s">
        <v>373</v>
      </c>
      <c r="F22" s="15" t="s">
        <v>407</v>
      </c>
      <c r="G22" s="15" t="s">
        <v>375</v>
      </c>
    </row>
    <row r="23" customFormat="false" ht="15" hidden="false" customHeight="false" outlineLevel="0" collapsed="false">
      <c r="A23" s="25" t="n">
        <v>300317</v>
      </c>
      <c r="B23" s="26" t="s">
        <v>176</v>
      </c>
      <c r="C23" s="26" t="s">
        <v>389</v>
      </c>
      <c r="D23" s="26" t="s">
        <v>383</v>
      </c>
      <c r="E23" s="26" t="s">
        <v>390</v>
      </c>
      <c r="F23" s="30" t="s">
        <v>408</v>
      </c>
      <c r="G23" s="30" t="s">
        <v>392</v>
      </c>
    </row>
    <row r="24" customFormat="false" ht="15" hidden="false" customHeight="false" outlineLevel="0" collapsed="false">
      <c r="A24" s="20" t="n">
        <v>300325</v>
      </c>
      <c r="B24" s="21" t="s">
        <v>178</v>
      </c>
      <c r="C24" s="21" t="s">
        <v>376</v>
      </c>
      <c r="D24" s="21" t="s">
        <v>377</v>
      </c>
      <c r="E24" s="21" t="s">
        <v>112</v>
      </c>
      <c r="F24" s="15" t="s">
        <v>409</v>
      </c>
      <c r="G24" s="15" t="s">
        <v>379</v>
      </c>
    </row>
    <row r="25" customFormat="false" ht="15" hidden="false" customHeight="false" outlineLevel="0" collapsed="false">
      <c r="A25" s="25" t="n">
        <v>300335</v>
      </c>
      <c r="B25" s="26" t="s">
        <v>154</v>
      </c>
      <c r="C25" s="26" t="s">
        <v>371</v>
      </c>
      <c r="D25" s="26" t="s">
        <v>372</v>
      </c>
      <c r="E25" s="26" t="s">
        <v>373</v>
      </c>
      <c r="F25" s="30" t="s">
        <v>410</v>
      </c>
      <c r="G25" s="30" t="s">
        <v>375</v>
      </c>
    </row>
    <row r="26" customFormat="false" ht="15" hidden="false" customHeight="false" outlineLevel="0" collapsed="false">
      <c r="A26" s="20" t="n">
        <v>300344</v>
      </c>
      <c r="B26" s="21" t="s">
        <v>182</v>
      </c>
      <c r="C26" s="21" t="s">
        <v>371</v>
      </c>
      <c r="D26" s="21" t="s">
        <v>372</v>
      </c>
      <c r="E26" s="21" t="s">
        <v>373</v>
      </c>
      <c r="F26" s="15" t="s">
        <v>411</v>
      </c>
      <c r="G26" s="15" t="s">
        <v>375</v>
      </c>
    </row>
    <row r="27" customFormat="false" ht="15" hidden="false" customHeight="false" outlineLevel="0" collapsed="false">
      <c r="A27" s="25" t="n">
        <v>300351</v>
      </c>
      <c r="B27" s="26" t="s">
        <v>184</v>
      </c>
      <c r="C27" s="26" t="s">
        <v>382</v>
      </c>
      <c r="D27" s="26" t="s">
        <v>377</v>
      </c>
      <c r="E27" s="26" t="s">
        <v>412</v>
      </c>
      <c r="F27" s="30" t="s">
        <v>413</v>
      </c>
      <c r="G27" s="30" t="s">
        <v>414</v>
      </c>
    </row>
    <row r="28" customFormat="false" ht="15" hidden="false" customHeight="false" outlineLevel="0" collapsed="false">
      <c r="A28" s="20" t="n">
        <v>300363</v>
      </c>
      <c r="B28" s="21" t="s">
        <v>187</v>
      </c>
      <c r="C28" s="21" t="s">
        <v>382</v>
      </c>
      <c r="D28" s="21" t="s">
        <v>383</v>
      </c>
      <c r="E28" s="21" t="s">
        <v>8</v>
      </c>
      <c r="F28" s="15" t="s">
        <v>384</v>
      </c>
      <c r="G28" s="15" t="s">
        <v>385</v>
      </c>
    </row>
    <row r="29" customFormat="false" ht="15" hidden="false" customHeight="false" outlineLevel="0" collapsed="false">
      <c r="A29" s="25" t="n">
        <v>300363</v>
      </c>
      <c r="B29" s="26" t="s">
        <v>187</v>
      </c>
      <c r="C29" s="26" t="s">
        <v>389</v>
      </c>
      <c r="D29" s="26" t="s">
        <v>383</v>
      </c>
      <c r="E29" s="26" t="s">
        <v>390</v>
      </c>
      <c r="F29" s="30" t="s">
        <v>415</v>
      </c>
      <c r="G29" s="30" t="s">
        <v>392</v>
      </c>
    </row>
    <row r="30" customFormat="false" ht="15" hidden="false" customHeight="false" outlineLevel="0" collapsed="false">
      <c r="A30" s="20" t="n">
        <v>300375</v>
      </c>
      <c r="B30" s="21" t="s">
        <v>188</v>
      </c>
      <c r="C30" s="21" t="s">
        <v>382</v>
      </c>
      <c r="D30" s="21" t="s">
        <v>383</v>
      </c>
      <c r="E30" s="21" t="s">
        <v>386</v>
      </c>
      <c r="F30" s="15" t="s">
        <v>387</v>
      </c>
      <c r="G30" s="15" t="s">
        <v>388</v>
      </c>
    </row>
    <row r="31" customFormat="false" ht="15" hidden="false" customHeight="false" outlineLevel="0" collapsed="false">
      <c r="A31" s="25" t="n">
        <v>300375</v>
      </c>
      <c r="B31" s="26" t="s">
        <v>188</v>
      </c>
      <c r="C31" s="26" t="s">
        <v>389</v>
      </c>
      <c r="D31" s="26" t="s">
        <v>383</v>
      </c>
      <c r="E31" s="26" t="s">
        <v>390</v>
      </c>
      <c r="F31" s="30" t="s">
        <v>416</v>
      </c>
      <c r="G31" s="30" t="s">
        <v>392</v>
      </c>
    </row>
    <row r="32" customFormat="false" ht="15" hidden="false" customHeight="false" outlineLevel="0" collapsed="false">
      <c r="A32" s="20" t="n">
        <v>300394</v>
      </c>
      <c r="B32" s="21" t="s">
        <v>192</v>
      </c>
      <c r="C32" s="21" t="s">
        <v>382</v>
      </c>
      <c r="D32" s="21" t="s">
        <v>377</v>
      </c>
      <c r="E32" s="21" t="s">
        <v>194</v>
      </c>
      <c r="F32" s="15" t="s">
        <v>417</v>
      </c>
      <c r="G32" s="15" t="s">
        <v>418</v>
      </c>
    </row>
    <row r="33" customFormat="false" ht="15" hidden="false" customHeight="false" outlineLevel="0" collapsed="false">
      <c r="A33" s="25" t="n">
        <v>300426</v>
      </c>
      <c r="B33" s="26" t="s">
        <v>196</v>
      </c>
      <c r="C33" s="26" t="s">
        <v>382</v>
      </c>
      <c r="D33" s="26" t="s">
        <v>377</v>
      </c>
      <c r="E33" s="26" t="s">
        <v>194</v>
      </c>
      <c r="F33" s="30" t="s">
        <v>417</v>
      </c>
      <c r="G33" s="30" t="s">
        <v>418</v>
      </c>
    </row>
    <row r="34" customFormat="false" ht="15" hidden="false" customHeight="false" outlineLevel="0" collapsed="false">
      <c r="A34" s="20" t="n">
        <v>300436</v>
      </c>
      <c r="B34" s="21" t="s">
        <v>188</v>
      </c>
      <c r="C34" s="21" t="s">
        <v>371</v>
      </c>
      <c r="D34" s="21" t="s">
        <v>372</v>
      </c>
      <c r="E34" s="21" t="s">
        <v>373</v>
      </c>
      <c r="F34" s="15" t="s">
        <v>419</v>
      </c>
      <c r="G34" s="15" t="s">
        <v>375</v>
      </c>
    </row>
    <row r="35" customFormat="false" ht="15" hidden="false" customHeight="false" outlineLevel="0" collapsed="false">
      <c r="A35" s="25" t="n">
        <v>300443</v>
      </c>
      <c r="B35" s="26" t="s">
        <v>197</v>
      </c>
      <c r="C35" s="26" t="s">
        <v>382</v>
      </c>
      <c r="D35" s="26" t="s">
        <v>383</v>
      </c>
      <c r="E35" s="26" t="s">
        <v>8</v>
      </c>
      <c r="F35" s="30" t="s">
        <v>384</v>
      </c>
      <c r="G35" s="30" t="s">
        <v>385</v>
      </c>
    </row>
    <row r="36" customFormat="false" ht="15" hidden="false" customHeight="false" outlineLevel="0" collapsed="false">
      <c r="A36" s="20" t="n">
        <v>300443</v>
      </c>
      <c r="B36" s="21" t="s">
        <v>197</v>
      </c>
      <c r="C36" s="21" t="s">
        <v>389</v>
      </c>
      <c r="D36" s="21" t="s">
        <v>383</v>
      </c>
      <c r="E36" s="21" t="s">
        <v>390</v>
      </c>
      <c r="F36" s="15" t="s">
        <v>420</v>
      </c>
      <c r="G36" s="15" t="s">
        <v>392</v>
      </c>
    </row>
    <row r="37" customFormat="false" ht="15" hidden="false" customHeight="false" outlineLevel="0" collapsed="false">
      <c r="A37" s="25" t="n">
        <v>300452</v>
      </c>
      <c r="B37" s="26" t="s">
        <v>154</v>
      </c>
      <c r="C37" s="26" t="s">
        <v>389</v>
      </c>
      <c r="D37" s="26" t="s">
        <v>383</v>
      </c>
      <c r="E37" s="26" t="s">
        <v>390</v>
      </c>
      <c r="F37" s="30" t="s">
        <v>421</v>
      </c>
      <c r="G37" s="30" t="s">
        <v>392</v>
      </c>
    </row>
    <row r="38" customFormat="false" ht="15" hidden="false" customHeight="false" outlineLevel="0" collapsed="false">
      <c r="A38" s="20" t="n">
        <v>300452</v>
      </c>
      <c r="B38" s="21" t="s">
        <v>154</v>
      </c>
      <c r="C38" s="21" t="s">
        <v>371</v>
      </c>
      <c r="D38" s="21" t="s">
        <v>372</v>
      </c>
      <c r="E38" s="21" t="s">
        <v>373</v>
      </c>
      <c r="F38" s="15" t="s">
        <v>422</v>
      </c>
      <c r="G38" s="15" t="s">
        <v>375</v>
      </c>
    </row>
    <row r="39" customFormat="false" ht="15" hidden="false" customHeight="false" outlineLevel="0" collapsed="false">
      <c r="A39" s="25" t="n">
        <v>300462</v>
      </c>
      <c r="B39" s="26" t="s">
        <v>154</v>
      </c>
      <c r="C39" s="26" t="s">
        <v>382</v>
      </c>
      <c r="D39" s="26" t="s">
        <v>377</v>
      </c>
      <c r="E39" s="26" t="s">
        <v>194</v>
      </c>
      <c r="F39" s="30" t="s">
        <v>417</v>
      </c>
      <c r="G39" s="30" t="s">
        <v>418</v>
      </c>
    </row>
    <row r="40" customFormat="false" ht="15" hidden="false" customHeight="false" outlineLevel="0" collapsed="false">
      <c r="A40" s="20" t="n">
        <v>300473</v>
      </c>
      <c r="B40" s="21" t="s">
        <v>201</v>
      </c>
      <c r="C40" s="21" t="s">
        <v>376</v>
      </c>
      <c r="D40" s="21" t="s">
        <v>377</v>
      </c>
      <c r="E40" s="21" t="s">
        <v>112</v>
      </c>
      <c r="F40" s="15" t="s">
        <v>378</v>
      </c>
      <c r="G40" s="15" t="s">
        <v>379</v>
      </c>
    </row>
    <row r="41" customFormat="false" ht="15" hidden="false" customHeight="false" outlineLevel="0" collapsed="false">
      <c r="A41" s="25" t="n">
        <v>300476</v>
      </c>
      <c r="B41" s="26" t="s">
        <v>95</v>
      </c>
      <c r="C41" s="26" t="s">
        <v>371</v>
      </c>
      <c r="D41" s="26" t="s">
        <v>372</v>
      </c>
      <c r="E41" s="26" t="s">
        <v>373</v>
      </c>
      <c r="F41" s="30" t="s">
        <v>423</v>
      </c>
      <c r="G41" s="30" t="s">
        <v>375</v>
      </c>
    </row>
    <row r="42" customFormat="false" ht="15" hidden="false" customHeight="false" outlineLevel="0" collapsed="false">
      <c r="A42" s="20" t="n">
        <v>300480</v>
      </c>
      <c r="B42" s="21" t="s">
        <v>181</v>
      </c>
      <c r="C42" s="21" t="s">
        <v>382</v>
      </c>
      <c r="D42" s="21" t="s">
        <v>383</v>
      </c>
      <c r="E42" s="21" t="s">
        <v>8</v>
      </c>
      <c r="F42" s="15" t="s">
        <v>384</v>
      </c>
      <c r="G42" s="15" t="s">
        <v>385</v>
      </c>
    </row>
    <row r="43" customFormat="false" ht="15" hidden="false" customHeight="false" outlineLevel="0" collapsed="false">
      <c r="A43" s="25" t="n">
        <v>300480</v>
      </c>
      <c r="B43" s="26" t="s">
        <v>181</v>
      </c>
      <c r="C43" s="26" t="s">
        <v>371</v>
      </c>
      <c r="D43" s="26" t="s">
        <v>383</v>
      </c>
      <c r="E43" s="26" t="s">
        <v>373</v>
      </c>
      <c r="F43" s="30" t="s">
        <v>424</v>
      </c>
      <c r="G43" s="30" t="s">
        <v>375</v>
      </c>
    </row>
  </sheetData>
  <conditionalFormatting sqref="D2:D43">
    <cfRule type="expression" priority="2" aboveAverage="0" equalAverage="0" bottom="0" percent="0" rank="0" text="" dxfId="16">
      <formula>D2="حرج"</formula>
    </cfRule>
    <cfRule type="expression" priority="3" aboveAverage="0" equalAverage="0" bottom="0" percent="0" rank="0" text="" dxfId="11">
      <formula>D2="عالٍ"</formula>
    </cfRule>
    <cfRule type="expression" priority="4" aboveAverage="0" equalAverage="0" bottom="0" percent="0" rank="0" text="" dxfId="17">
      <formula>D2="متوسط"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7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10.76953125" defaultRowHeight="15" zeroHeight="false" outlineLevelRow="0" outlineLevelCol="0"/>
  <cols>
    <col collapsed="false" customWidth="true" hidden="false" outlineLevel="0" max="1" min="1" style="1" width="40.36"/>
    <col collapsed="false" customWidth="true" hidden="false" outlineLevel="0" max="2" min="2" style="1" width="21.44"/>
    <col collapsed="false" customWidth="true" hidden="false" outlineLevel="0" max="3" min="3" style="1" width="18.92"/>
    <col collapsed="false" customWidth="true" hidden="false" outlineLevel="0" max="4" min="4" style="1" width="25.24"/>
    <col collapsed="false" customWidth="true" hidden="false" outlineLevel="0" max="5" min="5" style="1" width="15.13"/>
    <col collapsed="false" customWidth="true" hidden="false" outlineLevel="0" max="6" min="6" style="1" width="25.24"/>
    <col collapsed="false" customWidth="true" hidden="false" outlineLevel="0" max="8" min="7" style="1" width="26.49"/>
    <col collapsed="false" customWidth="true" hidden="false" outlineLevel="0" max="9" min="9" style="1" width="36.57"/>
  </cols>
  <sheetData>
    <row r="1" customFormat="false" ht="25.5" hidden="false" customHeight="true" outlineLevel="0" collapsed="false">
      <c r="A1" s="31" t="s">
        <v>425</v>
      </c>
      <c r="B1" s="31"/>
      <c r="C1" s="31"/>
      <c r="D1" s="31"/>
      <c r="E1" s="31"/>
      <c r="F1" s="31"/>
      <c r="G1" s="31"/>
      <c r="H1" s="31"/>
      <c r="I1" s="31"/>
    </row>
    <row r="2" customFormat="false" ht="15" hidden="false" customHeight="false" outlineLevel="0" collapsed="false">
      <c r="A2" s="31"/>
      <c r="B2" s="31"/>
      <c r="C2" s="31"/>
      <c r="D2" s="31"/>
      <c r="E2" s="31"/>
      <c r="F2" s="31"/>
      <c r="G2" s="31"/>
      <c r="H2" s="31"/>
      <c r="I2" s="31"/>
    </row>
    <row r="3" customFormat="false" ht="15" hidden="false" customHeight="false" outlineLevel="0" collapsed="false">
      <c r="A3" s="19" t="s">
        <v>426</v>
      </c>
      <c r="B3" s="19" t="s">
        <v>2</v>
      </c>
      <c r="C3" s="19" t="s">
        <v>3</v>
      </c>
      <c r="D3" s="19" t="s">
        <v>427</v>
      </c>
      <c r="E3" s="19" t="s">
        <v>108</v>
      </c>
      <c r="F3" s="19" t="s">
        <v>428</v>
      </c>
      <c r="G3" s="19" t="s">
        <v>5</v>
      </c>
      <c r="H3" s="19" t="s">
        <v>429</v>
      </c>
      <c r="I3" s="19" t="s">
        <v>7</v>
      </c>
    </row>
    <row r="4" customFormat="false" ht="15" hidden="false" customHeight="false" outlineLevel="0" collapsed="false">
      <c r="A4" s="21" t="s">
        <v>88</v>
      </c>
      <c r="B4" s="23" t="n">
        <v>23</v>
      </c>
      <c r="C4" s="23" t="n">
        <v>18</v>
      </c>
      <c r="D4" s="32" t="n">
        <v>0.782608695652174</v>
      </c>
      <c r="E4" s="23" t="n">
        <v>15</v>
      </c>
      <c r="F4" s="32" t="n">
        <v>0.652173913043478</v>
      </c>
      <c r="G4" s="24" t="n">
        <v>84.6</v>
      </c>
      <c r="H4" s="23" t="n">
        <v>169650</v>
      </c>
      <c r="I4" s="23" t="n">
        <v>3</v>
      </c>
    </row>
    <row r="5" customFormat="false" ht="15" hidden="false" customHeight="false" outlineLevel="0" collapsed="false">
      <c r="A5" s="26" t="s">
        <v>74</v>
      </c>
      <c r="B5" s="28" t="n">
        <v>16</v>
      </c>
      <c r="C5" s="28" t="n">
        <v>10</v>
      </c>
      <c r="D5" s="33" t="n">
        <v>0.625</v>
      </c>
      <c r="E5" s="28" t="n">
        <v>8</v>
      </c>
      <c r="F5" s="33" t="n">
        <v>0.5</v>
      </c>
      <c r="G5" s="29" t="n">
        <v>87.6</v>
      </c>
      <c r="H5" s="28" t="n">
        <v>169250</v>
      </c>
      <c r="I5" s="28" t="n">
        <v>2</v>
      </c>
    </row>
    <row r="6" customFormat="false" ht="15" hidden="false" customHeight="false" outlineLevel="0" collapsed="false">
      <c r="A6" s="21" t="s">
        <v>137</v>
      </c>
      <c r="B6" s="23" t="n">
        <v>6</v>
      </c>
      <c r="C6" s="23" t="n">
        <v>5</v>
      </c>
      <c r="D6" s="32" t="n">
        <v>0.833333333333333</v>
      </c>
      <c r="E6" s="23" t="n">
        <v>3</v>
      </c>
      <c r="F6" s="32" t="n">
        <v>0.5</v>
      </c>
      <c r="G6" s="24" t="n">
        <v>88.1</v>
      </c>
      <c r="H6" s="23" t="n">
        <v>71900</v>
      </c>
      <c r="I6" s="23" t="n">
        <v>3</v>
      </c>
    </row>
    <row r="7" customFormat="false" ht="15" hidden="false" customHeight="false" outlineLevel="0" collapsed="false">
      <c r="A7" s="26" t="s">
        <v>133</v>
      </c>
      <c r="B7" s="28" t="n">
        <v>5</v>
      </c>
      <c r="C7" s="28" t="n">
        <v>3</v>
      </c>
      <c r="D7" s="33" t="n">
        <v>0.6</v>
      </c>
      <c r="E7" s="28" t="n">
        <v>3</v>
      </c>
      <c r="F7" s="33" t="n">
        <v>0.6</v>
      </c>
      <c r="G7" s="29" t="n">
        <v>76.3</v>
      </c>
      <c r="H7" s="28" t="n">
        <v>33400</v>
      </c>
      <c r="I7" s="28" t="n">
        <v>2</v>
      </c>
    </row>
  </sheetData>
  <mergeCells count="1">
    <mergeCell ref="A1:I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9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10.76953125" defaultRowHeight="15" zeroHeight="false" outlineLevelRow="0" outlineLevelCol="0"/>
  <cols>
    <col collapsed="false" customWidth="true" hidden="false" outlineLevel="0" max="1" min="1" style="1" width="29.01"/>
    <col collapsed="false" customWidth="true" hidden="false" outlineLevel="0" max="2" min="2" style="1" width="21.44"/>
    <col collapsed="false" customWidth="true" hidden="false" outlineLevel="0" max="3" min="3" style="1" width="18.92"/>
    <col collapsed="false" customWidth="true" hidden="false" outlineLevel="0" max="4" min="4" style="1" width="25.24"/>
    <col collapsed="false" customWidth="true" hidden="false" outlineLevel="0" max="5" min="5" style="1" width="15.13"/>
    <col collapsed="false" customWidth="true" hidden="false" outlineLevel="0" max="6" min="6" style="1" width="25.24"/>
    <col collapsed="false" customWidth="true" hidden="false" outlineLevel="0" max="8" min="7" style="1" width="26.49"/>
    <col collapsed="false" customWidth="true" hidden="false" outlineLevel="0" max="9" min="9" style="1" width="36.57"/>
  </cols>
  <sheetData>
    <row r="1" customFormat="false" ht="25.5" hidden="false" customHeight="true" outlineLevel="0" collapsed="false">
      <c r="A1" s="31" t="s">
        <v>430</v>
      </c>
      <c r="B1" s="31"/>
      <c r="C1" s="31"/>
      <c r="D1" s="31"/>
      <c r="E1" s="31"/>
      <c r="F1" s="31"/>
      <c r="G1" s="31"/>
      <c r="H1" s="31"/>
      <c r="I1" s="31"/>
    </row>
    <row r="2" customFormat="false" ht="15" hidden="false" customHeight="false" outlineLevel="0" collapsed="false">
      <c r="A2" s="31"/>
      <c r="B2" s="31"/>
      <c r="C2" s="31"/>
      <c r="D2" s="31"/>
      <c r="E2" s="31"/>
      <c r="F2" s="31"/>
      <c r="G2" s="31"/>
      <c r="H2" s="31"/>
      <c r="I2" s="31"/>
    </row>
    <row r="3" customFormat="false" ht="15" hidden="false" customHeight="false" outlineLevel="0" collapsed="false">
      <c r="A3" s="19" t="s">
        <v>426</v>
      </c>
      <c r="B3" s="19" t="s">
        <v>2</v>
      </c>
      <c r="C3" s="19" t="s">
        <v>3</v>
      </c>
      <c r="D3" s="19" t="s">
        <v>427</v>
      </c>
      <c r="E3" s="19" t="s">
        <v>108</v>
      </c>
      <c r="F3" s="19" t="s">
        <v>428</v>
      </c>
      <c r="G3" s="19" t="s">
        <v>5</v>
      </c>
      <c r="H3" s="19" t="s">
        <v>429</v>
      </c>
      <c r="I3" s="19" t="s">
        <v>7</v>
      </c>
    </row>
    <row r="4" customFormat="false" ht="15" hidden="false" customHeight="false" outlineLevel="0" collapsed="false">
      <c r="A4" s="21" t="s">
        <v>90</v>
      </c>
      <c r="B4" s="23" t="n">
        <v>21</v>
      </c>
      <c r="C4" s="23" t="n">
        <v>15</v>
      </c>
      <c r="D4" s="32" t="n">
        <v>0.714285714285714</v>
      </c>
      <c r="E4" s="23" t="n">
        <v>11</v>
      </c>
      <c r="F4" s="32" t="n">
        <v>0.523809523809524</v>
      </c>
      <c r="G4" s="24" t="n">
        <v>84.2</v>
      </c>
      <c r="H4" s="23" t="n">
        <v>146900</v>
      </c>
      <c r="I4" s="23" t="n">
        <v>5</v>
      </c>
    </row>
    <row r="5" customFormat="false" ht="15" hidden="false" customHeight="false" outlineLevel="0" collapsed="false">
      <c r="A5" s="26" t="s">
        <v>122</v>
      </c>
      <c r="B5" s="28" t="n">
        <v>12</v>
      </c>
      <c r="C5" s="28" t="n">
        <v>8</v>
      </c>
      <c r="D5" s="33" t="n">
        <v>0.666666666666667</v>
      </c>
      <c r="E5" s="28" t="n">
        <v>9</v>
      </c>
      <c r="F5" s="33" t="n">
        <v>0.75</v>
      </c>
      <c r="G5" s="29" t="n">
        <v>85.5</v>
      </c>
      <c r="H5" s="28" t="n">
        <v>63900</v>
      </c>
      <c r="I5" s="28" t="n">
        <v>1</v>
      </c>
    </row>
    <row r="6" customFormat="false" ht="15" hidden="false" customHeight="false" outlineLevel="0" collapsed="false">
      <c r="A6" s="21" t="s">
        <v>77</v>
      </c>
      <c r="B6" s="23" t="n">
        <v>10</v>
      </c>
      <c r="C6" s="23" t="n">
        <v>7</v>
      </c>
      <c r="D6" s="32" t="n">
        <v>0.7</v>
      </c>
      <c r="E6" s="23" t="n">
        <v>5</v>
      </c>
      <c r="F6" s="32" t="n">
        <v>0.5</v>
      </c>
      <c r="G6" s="24" t="n">
        <v>84.4</v>
      </c>
      <c r="H6" s="23" t="n">
        <v>180100</v>
      </c>
      <c r="I6" s="23" t="n">
        <v>4</v>
      </c>
    </row>
    <row r="7" customFormat="false" ht="15" hidden="false" customHeight="false" outlineLevel="0" collapsed="false">
      <c r="A7" s="26" t="s">
        <v>97</v>
      </c>
      <c r="B7" s="28" t="n">
        <v>3</v>
      </c>
      <c r="C7" s="28" t="n">
        <v>2</v>
      </c>
      <c r="D7" s="33" t="n">
        <v>0.666666666666667</v>
      </c>
      <c r="E7" s="28" t="n">
        <v>0</v>
      </c>
      <c r="F7" s="33" t="n">
        <v>0</v>
      </c>
      <c r="G7" s="29" t="n">
        <v>85.9</v>
      </c>
      <c r="H7" s="28" t="n">
        <v>11450</v>
      </c>
      <c r="I7" s="28" t="n">
        <v>0</v>
      </c>
    </row>
    <row r="8" customFormat="false" ht="15" hidden="false" customHeight="false" outlineLevel="0" collapsed="false">
      <c r="A8" s="21" t="s">
        <v>159</v>
      </c>
      <c r="B8" s="23" t="n">
        <v>3</v>
      </c>
      <c r="C8" s="23" t="n">
        <v>3</v>
      </c>
      <c r="D8" s="32" t="n">
        <v>1</v>
      </c>
      <c r="E8" s="23" t="n">
        <v>3</v>
      </c>
      <c r="F8" s="32" t="n">
        <v>1</v>
      </c>
      <c r="G8" s="24" t="n">
        <v>87.7</v>
      </c>
      <c r="H8" s="23" t="n">
        <v>36750</v>
      </c>
      <c r="I8" s="23" t="n">
        <v>0</v>
      </c>
    </row>
    <row r="9" customFormat="false" ht="15" hidden="false" customHeight="false" outlineLevel="0" collapsed="false">
      <c r="A9" s="26" t="s">
        <v>119</v>
      </c>
      <c r="B9" s="28" t="n">
        <v>1</v>
      </c>
      <c r="C9" s="28" t="n">
        <v>1</v>
      </c>
      <c r="D9" s="33" t="n">
        <v>1</v>
      </c>
      <c r="E9" s="28" t="n">
        <v>1</v>
      </c>
      <c r="F9" s="33" t="n">
        <v>1</v>
      </c>
      <c r="G9" s="29" t="n">
        <v>98</v>
      </c>
      <c r="H9" s="28" t="n">
        <v>5100</v>
      </c>
      <c r="I9" s="28" t="n">
        <v>0</v>
      </c>
    </row>
  </sheetData>
  <mergeCells count="1">
    <mergeCell ref="A1:I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7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10.76953125" defaultRowHeight="15" zeroHeight="false" outlineLevelRow="0" outlineLevelCol="0"/>
  <cols>
    <col collapsed="false" customWidth="true" hidden="false" outlineLevel="0" max="1" min="1" style="1" width="45.42"/>
    <col collapsed="false" customWidth="true" hidden="false" outlineLevel="0" max="2" min="2" style="1" width="21.44"/>
    <col collapsed="false" customWidth="true" hidden="false" outlineLevel="0" max="3" min="3" style="1" width="18.92"/>
    <col collapsed="false" customWidth="true" hidden="false" outlineLevel="0" max="4" min="4" style="1" width="25.24"/>
    <col collapsed="false" customWidth="true" hidden="false" outlineLevel="0" max="5" min="5" style="1" width="15.13"/>
    <col collapsed="false" customWidth="true" hidden="false" outlineLevel="0" max="6" min="6" style="1" width="25.24"/>
    <col collapsed="false" customWidth="true" hidden="false" outlineLevel="0" max="8" min="7" style="1" width="26.49"/>
    <col collapsed="false" customWidth="true" hidden="false" outlineLevel="0" max="9" min="9" style="1" width="36.57"/>
  </cols>
  <sheetData>
    <row r="1" customFormat="false" ht="25.5" hidden="false" customHeight="true" outlineLevel="0" collapsed="false">
      <c r="A1" s="31" t="s">
        <v>431</v>
      </c>
      <c r="B1" s="31"/>
      <c r="C1" s="31"/>
      <c r="D1" s="31"/>
      <c r="E1" s="31"/>
      <c r="F1" s="31"/>
      <c r="G1" s="31"/>
      <c r="H1" s="31"/>
      <c r="I1" s="31"/>
    </row>
    <row r="2" customFormat="false" ht="15" hidden="false" customHeight="false" outlineLevel="0" collapsed="false">
      <c r="A2" s="31"/>
      <c r="B2" s="31"/>
      <c r="C2" s="31"/>
      <c r="D2" s="31"/>
      <c r="E2" s="31"/>
      <c r="F2" s="31"/>
      <c r="G2" s="31"/>
      <c r="H2" s="31"/>
      <c r="I2" s="31"/>
    </row>
    <row r="3" customFormat="false" ht="15" hidden="false" customHeight="false" outlineLevel="0" collapsed="false">
      <c r="A3" s="34" t="s">
        <v>25</v>
      </c>
      <c r="B3" s="34"/>
      <c r="C3" s="34"/>
      <c r="D3" s="34"/>
      <c r="E3" s="34"/>
      <c r="F3" s="34"/>
      <c r="G3" s="34"/>
      <c r="H3" s="34"/>
      <c r="I3" s="34"/>
    </row>
    <row r="4" customFormat="false" ht="15" hidden="false" customHeight="false" outlineLevel="0" collapsed="false">
      <c r="A4" s="19" t="s">
        <v>426</v>
      </c>
      <c r="B4" s="19" t="s">
        <v>2</v>
      </c>
      <c r="C4" s="19" t="s">
        <v>3</v>
      </c>
      <c r="D4" s="19" t="s">
        <v>427</v>
      </c>
      <c r="E4" s="19" t="s">
        <v>108</v>
      </c>
      <c r="F4" s="19" t="s">
        <v>428</v>
      </c>
      <c r="G4" s="19" t="s">
        <v>5</v>
      </c>
      <c r="H4" s="19" t="s">
        <v>429</v>
      </c>
      <c r="I4" s="19" t="s">
        <v>7</v>
      </c>
    </row>
    <row r="5" customFormat="false" ht="15" hidden="false" customHeight="false" outlineLevel="0" collapsed="false">
      <c r="A5" s="21" t="s">
        <v>3</v>
      </c>
      <c r="B5" s="23" t="n">
        <v>36</v>
      </c>
      <c r="C5" s="23" t="n">
        <v>36</v>
      </c>
      <c r="D5" s="32" t="n">
        <v>1</v>
      </c>
      <c r="E5" s="23" t="n">
        <v>18</v>
      </c>
      <c r="F5" s="32" t="n">
        <v>0.5</v>
      </c>
      <c r="G5" s="24" t="n">
        <v>84.1</v>
      </c>
      <c r="H5" s="23" t="n">
        <v>444200</v>
      </c>
      <c r="I5" s="23" t="n">
        <v>10</v>
      </c>
    </row>
    <row r="6" customFormat="false" ht="15" hidden="false" customHeight="false" outlineLevel="0" collapsed="false">
      <c r="A6" s="26" t="s">
        <v>127</v>
      </c>
      <c r="B6" s="28" t="n">
        <v>8</v>
      </c>
      <c r="C6" s="28" t="n">
        <v>0</v>
      </c>
      <c r="D6" s="33" t="n">
        <v>0</v>
      </c>
      <c r="E6" s="28" t="n">
        <v>7</v>
      </c>
      <c r="F6" s="33" t="n">
        <v>0.875</v>
      </c>
      <c r="G6" s="29" t="n">
        <v>85.7</v>
      </c>
      <c r="H6" s="28" t="n">
        <v>0</v>
      </c>
      <c r="I6" s="28" t="n">
        <v>0</v>
      </c>
    </row>
    <row r="7" customFormat="false" ht="15" hidden="false" customHeight="false" outlineLevel="0" collapsed="false">
      <c r="A7" s="21" t="s">
        <v>148</v>
      </c>
      <c r="B7" s="23" t="n">
        <v>3</v>
      </c>
      <c r="C7" s="23" t="n">
        <v>0</v>
      </c>
      <c r="D7" s="32" t="n">
        <v>0</v>
      </c>
      <c r="E7" s="23" t="n">
        <v>2</v>
      </c>
      <c r="F7" s="32" t="n">
        <v>0.666666666666667</v>
      </c>
      <c r="G7" s="24" t="n">
        <v>88</v>
      </c>
      <c r="H7" s="23" t="n">
        <v>0</v>
      </c>
      <c r="I7" s="23" t="n">
        <v>0</v>
      </c>
    </row>
    <row r="8" customFormat="false" ht="15" hidden="false" customHeight="false" outlineLevel="0" collapsed="false">
      <c r="A8" s="26" t="s">
        <v>193</v>
      </c>
      <c r="B8" s="28" t="n">
        <v>2</v>
      </c>
      <c r="C8" s="28" t="n">
        <v>0</v>
      </c>
      <c r="D8" s="33" t="n">
        <v>0</v>
      </c>
      <c r="E8" s="28" t="n">
        <v>1</v>
      </c>
      <c r="F8" s="33" t="n">
        <v>0.5</v>
      </c>
      <c r="G8" s="29" t="n">
        <v>93.9</v>
      </c>
      <c r="H8" s="28" t="n">
        <v>0</v>
      </c>
      <c r="I8" s="28" t="n">
        <v>0</v>
      </c>
    </row>
    <row r="9" customFormat="false" ht="15" hidden="false" customHeight="false" outlineLevel="0" collapsed="false">
      <c r="A9" s="21" t="s">
        <v>109</v>
      </c>
      <c r="B9" s="23" t="n">
        <v>1</v>
      </c>
      <c r="C9" s="23" t="n">
        <v>0</v>
      </c>
      <c r="D9" s="32" t="n">
        <v>0</v>
      </c>
      <c r="E9" s="23" t="n">
        <v>1</v>
      </c>
      <c r="F9" s="32" t="n">
        <v>1</v>
      </c>
      <c r="G9" s="24" t="n">
        <v>94.6</v>
      </c>
      <c r="H9" s="23" t="n">
        <v>0</v>
      </c>
      <c r="I9" s="23" t="n">
        <v>0</v>
      </c>
    </row>
    <row r="12" customFormat="false" ht="15" hidden="false" customHeight="false" outlineLevel="0" collapsed="false">
      <c r="A12" s="34" t="s">
        <v>432</v>
      </c>
      <c r="B12" s="34"/>
      <c r="C12" s="34"/>
      <c r="D12" s="34"/>
      <c r="E12" s="34"/>
      <c r="F12" s="34"/>
      <c r="G12" s="34"/>
      <c r="H12" s="34"/>
      <c r="I12" s="34"/>
    </row>
    <row r="13" customFormat="false" ht="15" hidden="false" customHeight="false" outlineLevel="0" collapsed="false">
      <c r="A13" s="19" t="s">
        <v>426</v>
      </c>
      <c r="B13" s="19" t="s">
        <v>2</v>
      </c>
      <c r="C13" s="19" t="s">
        <v>3</v>
      </c>
      <c r="D13" s="19" t="s">
        <v>427</v>
      </c>
      <c r="E13" s="19" t="s">
        <v>108</v>
      </c>
      <c r="F13" s="19" t="s">
        <v>428</v>
      </c>
      <c r="G13" s="19" t="s">
        <v>5</v>
      </c>
      <c r="H13" s="19" t="s">
        <v>429</v>
      </c>
      <c r="I13" s="19" t="s">
        <v>7</v>
      </c>
    </row>
    <row r="14" customFormat="false" ht="15" hidden="false" customHeight="false" outlineLevel="0" collapsed="false">
      <c r="A14" s="21" t="s">
        <v>80</v>
      </c>
      <c r="B14" s="23" t="n">
        <v>33</v>
      </c>
      <c r="C14" s="23" t="n">
        <v>23</v>
      </c>
      <c r="D14" s="32" t="n">
        <v>0.696969696969697</v>
      </c>
      <c r="E14" s="23" t="n">
        <v>21</v>
      </c>
      <c r="F14" s="32" t="n">
        <v>0.636363636363636</v>
      </c>
      <c r="G14" s="24" t="n">
        <v>84.4</v>
      </c>
      <c r="H14" s="23" t="n">
        <v>301450</v>
      </c>
      <c r="I14" s="23" t="n">
        <v>4</v>
      </c>
    </row>
    <row r="15" customFormat="false" ht="15" hidden="false" customHeight="false" outlineLevel="0" collapsed="false">
      <c r="A15" s="26" t="s">
        <v>100</v>
      </c>
      <c r="B15" s="28" t="n">
        <v>8</v>
      </c>
      <c r="C15" s="28" t="n">
        <v>6</v>
      </c>
      <c r="D15" s="33" t="n">
        <v>0.75</v>
      </c>
      <c r="E15" s="28" t="n">
        <v>4</v>
      </c>
      <c r="F15" s="33" t="n">
        <v>0.5</v>
      </c>
      <c r="G15" s="29" t="n">
        <v>89.2</v>
      </c>
      <c r="H15" s="28" t="n">
        <v>63050</v>
      </c>
      <c r="I15" s="28" t="n">
        <v>4</v>
      </c>
    </row>
    <row r="16" customFormat="false" ht="15" hidden="false" customHeight="false" outlineLevel="0" collapsed="false">
      <c r="A16" s="21" t="s">
        <v>106</v>
      </c>
      <c r="B16" s="23" t="n">
        <v>5</v>
      </c>
      <c r="C16" s="23" t="n">
        <v>5</v>
      </c>
      <c r="D16" s="32" t="n">
        <v>1</v>
      </c>
      <c r="E16" s="23" t="n">
        <v>1</v>
      </c>
      <c r="F16" s="32" t="n">
        <v>0.2</v>
      </c>
      <c r="G16" s="24" t="n">
        <v>83</v>
      </c>
      <c r="H16" s="23" t="n">
        <v>65900</v>
      </c>
      <c r="I16" s="23" t="n">
        <v>2</v>
      </c>
    </row>
    <row r="17" customFormat="false" ht="15" hidden="false" customHeight="false" outlineLevel="0" collapsed="false">
      <c r="A17" s="26" t="s">
        <v>147</v>
      </c>
      <c r="B17" s="28" t="n">
        <v>4</v>
      </c>
      <c r="C17" s="28" t="n">
        <v>2</v>
      </c>
      <c r="D17" s="33" t="n">
        <v>0.5</v>
      </c>
      <c r="E17" s="28" t="n">
        <v>3</v>
      </c>
      <c r="F17" s="33" t="n">
        <v>0.75</v>
      </c>
      <c r="G17" s="29" t="n">
        <v>87.2</v>
      </c>
      <c r="H17" s="28" t="n">
        <v>13800</v>
      </c>
      <c r="I17" s="28" t="n">
        <v>0</v>
      </c>
    </row>
  </sheetData>
  <mergeCells count="1">
    <mergeCell ref="A1:I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8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10.76953125" defaultRowHeight="15" zeroHeight="false" outlineLevelRow="0" outlineLevelCol="0"/>
  <cols>
    <col collapsed="false" customWidth="true" hidden="false" outlineLevel="0" max="1" min="1" style="1" width="27.75"/>
    <col collapsed="false" customWidth="true" hidden="false" outlineLevel="0" max="2" min="2" style="1" width="17.66"/>
    <col collapsed="false" customWidth="true" hidden="false" outlineLevel="0" max="4" min="4" style="1" width="18.92"/>
    <col collapsed="false" customWidth="true" hidden="false" outlineLevel="0" max="5" min="5" style="1" width="20.18"/>
    <col collapsed="false" customWidth="true" hidden="false" outlineLevel="0" max="6" min="6" style="1" width="40.36"/>
    <col collapsed="false" customWidth="true" hidden="false" outlineLevel="0" max="7" min="7" style="1" width="20.18"/>
    <col collapsed="false" customWidth="true" hidden="false" outlineLevel="0" max="8" min="8" style="1" width="21.44"/>
    <col collapsed="false" customWidth="true" hidden="false" outlineLevel="0" max="9" min="9" style="1" width="26.49"/>
    <col collapsed="false" customWidth="true" hidden="false" outlineLevel="0" max="10" min="10" style="1" width="23.96"/>
    <col collapsed="false" customWidth="true" hidden="false" outlineLevel="0" max="11" min="11" style="1" width="21.44"/>
  </cols>
  <sheetData>
    <row r="1" customFormat="false" ht="25.5" hidden="false" customHeight="true" outlineLevel="0" collapsed="false">
      <c r="A1" s="31" t="s">
        <v>371</v>
      </c>
      <c r="B1" s="31"/>
      <c r="C1" s="31"/>
      <c r="D1" s="31"/>
      <c r="E1" s="31"/>
      <c r="F1" s="31"/>
    </row>
    <row r="2" customFormat="false" ht="15" hidden="false" customHeight="false" outlineLevel="0" collapsed="false">
      <c r="A2" s="31"/>
      <c r="B2" s="31"/>
      <c r="C2" s="31"/>
      <c r="D2" s="31"/>
      <c r="E2" s="31"/>
      <c r="F2" s="31"/>
    </row>
    <row r="4" customFormat="false" ht="15" hidden="false" customHeight="false" outlineLevel="0" collapsed="false">
      <c r="A4" s="19" t="s">
        <v>433</v>
      </c>
      <c r="B4" s="19" t="s">
        <v>434</v>
      </c>
      <c r="D4" s="19" t="s">
        <v>40</v>
      </c>
      <c r="E4" s="19" t="s">
        <v>41</v>
      </c>
      <c r="F4" s="19" t="s">
        <v>48</v>
      </c>
      <c r="G4" s="19" t="s">
        <v>51</v>
      </c>
      <c r="H4" s="19" t="s">
        <v>55</v>
      </c>
      <c r="I4" s="19" t="s">
        <v>435</v>
      </c>
      <c r="J4" s="19" t="s">
        <v>63</v>
      </c>
      <c r="K4" s="19" t="s">
        <v>436</v>
      </c>
    </row>
    <row r="5" customFormat="false" ht="15" hidden="false" customHeight="false" outlineLevel="0" collapsed="false">
      <c r="A5" s="21" t="s">
        <v>83</v>
      </c>
      <c r="B5" s="23" t="n">
        <v>13</v>
      </c>
      <c r="D5" s="20" t="n">
        <v>300105</v>
      </c>
      <c r="E5" s="21" t="s">
        <v>71</v>
      </c>
      <c r="F5" s="21" t="s">
        <v>74</v>
      </c>
      <c r="G5" s="21" t="s">
        <v>77</v>
      </c>
      <c r="H5" s="21" t="s">
        <v>3</v>
      </c>
      <c r="I5" s="22" t="n">
        <v>46148</v>
      </c>
      <c r="J5" s="21" t="s">
        <v>83</v>
      </c>
      <c r="K5" s="35" t="n">
        <v>-105</v>
      </c>
    </row>
    <row r="6" customFormat="false" ht="15" hidden="false" customHeight="false" outlineLevel="0" collapsed="false">
      <c r="A6" s="26" t="s">
        <v>170</v>
      </c>
      <c r="B6" s="28" t="n">
        <v>1</v>
      </c>
      <c r="D6" s="25" t="n">
        <v>300142</v>
      </c>
      <c r="E6" s="26" t="s">
        <v>113</v>
      </c>
      <c r="F6" s="26" t="s">
        <v>88</v>
      </c>
      <c r="G6" s="26" t="s">
        <v>90</v>
      </c>
      <c r="H6" s="26" t="s">
        <v>3</v>
      </c>
      <c r="I6" s="27" t="n">
        <v>46245</v>
      </c>
      <c r="J6" s="26" t="s">
        <v>83</v>
      </c>
      <c r="K6" s="36" t="n">
        <v>-8</v>
      </c>
    </row>
    <row r="7" customFormat="false" ht="15" hidden="false" customHeight="false" outlineLevel="0" collapsed="false">
      <c r="A7" s="21" t="s">
        <v>93</v>
      </c>
      <c r="B7" s="23" t="n">
        <v>21</v>
      </c>
      <c r="D7" s="20" t="n">
        <v>300217</v>
      </c>
      <c r="E7" s="21" t="s">
        <v>142</v>
      </c>
      <c r="F7" s="21" t="s">
        <v>88</v>
      </c>
      <c r="G7" s="21" t="s">
        <v>77</v>
      </c>
      <c r="H7" s="21" t="s">
        <v>3</v>
      </c>
      <c r="I7" s="22" t="n">
        <v>46197</v>
      </c>
      <c r="J7" s="21" t="s">
        <v>83</v>
      </c>
      <c r="K7" s="35" t="n">
        <v>-56</v>
      </c>
    </row>
    <row r="8" customFormat="false" ht="15" hidden="false" customHeight="false" outlineLevel="0" collapsed="false">
      <c r="A8" s="26" t="s">
        <v>111</v>
      </c>
      <c r="B8" s="28" t="n">
        <v>4</v>
      </c>
      <c r="D8" s="25" t="n">
        <v>300252</v>
      </c>
      <c r="E8" s="26" t="s">
        <v>103</v>
      </c>
      <c r="F8" s="26" t="s">
        <v>137</v>
      </c>
      <c r="G8" s="26" t="s">
        <v>90</v>
      </c>
      <c r="H8" s="26" t="s">
        <v>3</v>
      </c>
      <c r="I8" s="27" t="n">
        <v>45688</v>
      </c>
      <c r="J8" s="26" t="s">
        <v>83</v>
      </c>
      <c r="K8" s="36" t="n">
        <v>-565</v>
      </c>
    </row>
    <row r="9" customFormat="false" ht="15" hidden="false" customHeight="false" outlineLevel="0" collapsed="false">
      <c r="A9" s="21" t="s">
        <v>101</v>
      </c>
      <c r="B9" s="23" t="n">
        <v>11</v>
      </c>
      <c r="D9" s="20" t="n">
        <v>300257</v>
      </c>
      <c r="E9" s="21" t="s">
        <v>163</v>
      </c>
      <c r="F9" s="21" t="s">
        <v>137</v>
      </c>
      <c r="G9" s="21" t="s">
        <v>77</v>
      </c>
      <c r="H9" s="21" t="s">
        <v>3</v>
      </c>
      <c r="I9" s="22" t="n">
        <v>46061</v>
      </c>
      <c r="J9" s="21" t="s">
        <v>83</v>
      </c>
      <c r="K9" s="35" t="n">
        <v>-192</v>
      </c>
    </row>
    <row r="10" customFormat="false" ht="15" hidden="false" customHeight="false" outlineLevel="0" collapsed="false">
      <c r="D10" s="25" t="n">
        <v>300279</v>
      </c>
      <c r="E10" s="26" t="s">
        <v>168</v>
      </c>
      <c r="F10" s="26" t="s">
        <v>88</v>
      </c>
      <c r="G10" s="26" t="s">
        <v>90</v>
      </c>
      <c r="H10" s="26" t="s">
        <v>3</v>
      </c>
      <c r="I10" s="27" t="n">
        <v>46275</v>
      </c>
      <c r="J10" s="26" t="s">
        <v>170</v>
      </c>
      <c r="K10" s="36" t="n">
        <v>22</v>
      </c>
    </row>
    <row r="11" customFormat="false" ht="15" hidden="false" customHeight="false" outlineLevel="0" collapsed="false">
      <c r="D11" s="20" t="n">
        <v>300304</v>
      </c>
      <c r="E11" s="21" t="s">
        <v>174</v>
      </c>
      <c r="F11" s="21" t="s">
        <v>137</v>
      </c>
      <c r="G11" s="21" t="s">
        <v>122</v>
      </c>
      <c r="H11" s="21" t="s">
        <v>127</v>
      </c>
      <c r="I11" s="22" t="n">
        <v>45870</v>
      </c>
      <c r="J11" s="21" t="s">
        <v>83</v>
      </c>
      <c r="K11" s="35" t="n">
        <v>-383</v>
      </c>
    </row>
    <row r="12" customFormat="false" ht="15" hidden="false" customHeight="false" outlineLevel="0" collapsed="false">
      <c r="D12" s="25" t="n">
        <v>300312</v>
      </c>
      <c r="E12" s="26" t="s">
        <v>175</v>
      </c>
      <c r="F12" s="26" t="s">
        <v>88</v>
      </c>
      <c r="G12" s="26" t="s">
        <v>90</v>
      </c>
      <c r="H12" s="26" t="s">
        <v>127</v>
      </c>
      <c r="I12" s="27" t="n">
        <v>46117</v>
      </c>
      <c r="J12" s="26" t="s">
        <v>83</v>
      </c>
      <c r="K12" s="36" t="n">
        <v>-136</v>
      </c>
    </row>
    <row r="13" customFormat="false" ht="15" hidden="false" customHeight="false" outlineLevel="0" collapsed="false">
      <c r="D13" s="20" t="n">
        <v>300335</v>
      </c>
      <c r="E13" s="21" t="s">
        <v>154</v>
      </c>
      <c r="F13" s="21" t="s">
        <v>88</v>
      </c>
      <c r="G13" s="21" t="s">
        <v>77</v>
      </c>
      <c r="H13" s="21" t="s">
        <v>3</v>
      </c>
      <c r="I13" s="22" t="n">
        <v>46212</v>
      </c>
      <c r="J13" s="21" t="s">
        <v>83</v>
      </c>
      <c r="K13" s="35" t="n">
        <v>-41</v>
      </c>
    </row>
    <row r="14" customFormat="false" ht="15" hidden="false" customHeight="false" outlineLevel="0" collapsed="false">
      <c r="D14" s="25" t="n">
        <v>300344</v>
      </c>
      <c r="E14" s="26" t="s">
        <v>182</v>
      </c>
      <c r="F14" s="26" t="s">
        <v>137</v>
      </c>
      <c r="G14" s="26" t="s">
        <v>122</v>
      </c>
      <c r="H14" s="26" t="s">
        <v>3</v>
      </c>
      <c r="I14" s="27" t="n">
        <v>45912</v>
      </c>
      <c r="J14" s="26" t="s">
        <v>83</v>
      </c>
      <c r="K14" s="36" t="n">
        <v>-341</v>
      </c>
    </row>
    <row r="15" customFormat="false" ht="15" hidden="false" customHeight="false" outlineLevel="0" collapsed="false">
      <c r="D15" s="20" t="n">
        <v>300436</v>
      </c>
      <c r="E15" s="21" t="s">
        <v>188</v>
      </c>
      <c r="F15" s="21" t="s">
        <v>133</v>
      </c>
      <c r="G15" s="21" t="s">
        <v>90</v>
      </c>
      <c r="H15" s="21" t="s">
        <v>3</v>
      </c>
      <c r="I15" s="22" t="n">
        <v>46250</v>
      </c>
      <c r="J15" s="21" t="s">
        <v>83</v>
      </c>
      <c r="K15" s="35" t="n">
        <v>-3</v>
      </c>
    </row>
    <row r="16" customFormat="false" ht="15" hidden="false" customHeight="false" outlineLevel="0" collapsed="false">
      <c r="D16" s="25" t="n">
        <v>300452</v>
      </c>
      <c r="E16" s="26" t="s">
        <v>154</v>
      </c>
      <c r="F16" s="26" t="s">
        <v>133</v>
      </c>
      <c r="G16" s="26" t="s">
        <v>90</v>
      </c>
      <c r="H16" s="26" t="s">
        <v>3</v>
      </c>
      <c r="I16" s="27" t="n">
        <v>46067</v>
      </c>
      <c r="J16" s="26" t="s">
        <v>83</v>
      </c>
      <c r="K16" s="36" t="n">
        <v>-186</v>
      </c>
    </row>
    <row r="17" customFormat="false" ht="15" hidden="false" customHeight="false" outlineLevel="0" collapsed="false">
      <c r="D17" s="20" t="n">
        <v>300476</v>
      </c>
      <c r="E17" s="21" t="s">
        <v>95</v>
      </c>
      <c r="F17" s="21" t="s">
        <v>74</v>
      </c>
      <c r="G17" s="21" t="s">
        <v>90</v>
      </c>
      <c r="H17" s="21" t="s">
        <v>3</v>
      </c>
      <c r="I17" s="22" t="n">
        <v>46193</v>
      </c>
      <c r="J17" s="21" t="s">
        <v>83</v>
      </c>
      <c r="K17" s="35" t="n">
        <v>-60</v>
      </c>
    </row>
    <row r="18" customFormat="false" ht="15" hidden="false" customHeight="false" outlineLevel="0" collapsed="false">
      <c r="D18" s="25" t="n">
        <v>300480</v>
      </c>
      <c r="E18" s="26" t="s">
        <v>181</v>
      </c>
      <c r="F18" s="26" t="s">
        <v>133</v>
      </c>
      <c r="G18" s="26" t="s">
        <v>77</v>
      </c>
      <c r="H18" s="26" t="s">
        <v>127</v>
      </c>
      <c r="I18" s="27" t="n">
        <v>45721</v>
      </c>
      <c r="J18" s="26" t="s">
        <v>83</v>
      </c>
      <c r="K18" s="36" t="n">
        <v>-532</v>
      </c>
    </row>
  </sheetData>
  <mergeCells count="1">
    <mergeCell ref="A1:F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2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10.76953125" defaultRowHeight="15" zeroHeight="false" outlineLevelRow="0" outlineLevelCol="0"/>
  <cols>
    <col collapsed="false" customWidth="true" hidden="false" outlineLevel="0" max="1" min="1" style="1" width="7.57"/>
    <col collapsed="false" customWidth="true" hidden="false" outlineLevel="0" max="2" min="2" style="1" width="12.61"/>
    <col collapsed="false" customWidth="true" hidden="false" outlineLevel="0" max="3" min="3" style="1" width="44.14"/>
    <col collapsed="false" customWidth="true" hidden="false" outlineLevel="0" max="5" min="4" style="1" width="60.54"/>
  </cols>
  <sheetData>
    <row r="1" customFormat="false" ht="25.5" hidden="false" customHeight="true" outlineLevel="0" collapsed="false">
      <c r="A1" s="37" t="s">
        <v>437</v>
      </c>
      <c r="B1" s="37"/>
      <c r="C1" s="37"/>
      <c r="D1" s="37"/>
      <c r="E1" s="37"/>
    </row>
    <row r="2" customFormat="false" ht="15" hidden="false" customHeight="false" outlineLevel="0" collapsed="false">
      <c r="A2" s="37"/>
      <c r="B2" s="37"/>
      <c r="C2" s="37"/>
      <c r="D2" s="37"/>
      <c r="E2" s="37"/>
    </row>
    <row r="4" customFormat="false" ht="15" hidden="false" customHeight="false" outlineLevel="0" collapsed="false">
      <c r="A4" s="19" t="s">
        <v>438</v>
      </c>
      <c r="B4" s="19" t="s">
        <v>367</v>
      </c>
      <c r="C4" s="19" t="s">
        <v>366</v>
      </c>
      <c r="D4" s="19" t="s">
        <v>439</v>
      </c>
      <c r="E4" s="19" t="s">
        <v>440</v>
      </c>
    </row>
    <row r="5" customFormat="false" ht="23.85" hidden="false" customHeight="false" outlineLevel="0" collapsed="false">
      <c r="A5" s="38" t="s">
        <v>18</v>
      </c>
      <c r="B5" s="21" t="s">
        <v>441</v>
      </c>
      <c r="C5" s="21" t="s">
        <v>442</v>
      </c>
      <c r="D5" s="15" t="s">
        <v>443</v>
      </c>
      <c r="E5" s="15" t="s">
        <v>444</v>
      </c>
    </row>
    <row r="6" customFormat="false" ht="15" hidden="false" customHeight="false" outlineLevel="0" collapsed="false">
      <c r="A6" s="39" t="s">
        <v>23</v>
      </c>
      <c r="B6" s="26" t="s">
        <v>441</v>
      </c>
      <c r="C6" s="26" t="s">
        <v>445</v>
      </c>
      <c r="D6" s="30" t="s">
        <v>446</v>
      </c>
      <c r="E6" s="30" t="s">
        <v>447</v>
      </c>
    </row>
    <row r="7" customFormat="false" ht="15" hidden="false" customHeight="false" outlineLevel="0" collapsed="false">
      <c r="A7" s="38" t="s">
        <v>27</v>
      </c>
      <c r="B7" s="21" t="s">
        <v>441</v>
      </c>
      <c r="C7" s="21" t="s">
        <v>448</v>
      </c>
      <c r="D7" s="15" t="s">
        <v>449</v>
      </c>
      <c r="E7" s="15" t="s">
        <v>450</v>
      </c>
    </row>
    <row r="8" customFormat="false" ht="15" hidden="false" customHeight="false" outlineLevel="0" collapsed="false">
      <c r="A8" s="39" t="s">
        <v>31</v>
      </c>
      <c r="B8" s="26" t="s">
        <v>451</v>
      </c>
      <c r="C8" s="26" t="s">
        <v>452</v>
      </c>
      <c r="D8" s="30" t="s">
        <v>453</v>
      </c>
      <c r="E8" s="30" t="s">
        <v>454</v>
      </c>
    </row>
    <row r="9" customFormat="false" ht="15" hidden="false" customHeight="false" outlineLevel="0" collapsed="false">
      <c r="A9" s="38" t="s">
        <v>36</v>
      </c>
      <c r="B9" s="21" t="s">
        <v>451</v>
      </c>
      <c r="C9" s="21" t="s">
        <v>455</v>
      </c>
      <c r="D9" s="15" t="s">
        <v>456</v>
      </c>
      <c r="E9" s="15" t="s">
        <v>457</v>
      </c>
    </row>
    <row r="10" customFormat="false" ht="15" hidden="false" customHeight="false" outlineLevel="0" collapsed="false">
      <c r="A10" s="39" t="s">
        <v>38</v>
      </c>
      <c r="B10" s="26" t="s">
        <v>451</v>
      </c>
      <c r="C10" s="26" t="s">
        <v>458</v>
      </c>
      <c r="D10" s="30" t="s">
        <v>459</v>
      </c>
      <c r="E10" s="30" t="s">
        <v>460</v>
      </c>
    </row>
    <row r="11" customFormat="false" ht="25.35" hidden="false" customHeight="false" outlineLevel="0" collapsed="false">
      <c r="A11" s="38" t="s">
        <v>461</v>
      </c>
      <c r="B11" s="21" t="s">
        <v>462</v>
      </c>
      <c r="C11" s="21" t="s">
        <v>463</v>
      </c>
      <c r="D11" s="15" t="s">
        <v>464</v>
      </c>
      <c r="E11" s="15" t="s">
        <v>465</v>
      </c>
    </row>
    <row r="12" customFormat="false" ht="23.85" hidden="false" customHeight="false" outlineLevel="0" collapsed="false">
      <c r="A12" s="39" t="s">
        <v>466</v>
      </c>
      <c r="B12" s="26" t="s">
        <v>462</v>
      </c>
      <c r="C12" s="26" t="s">
        <v>467</v>
      </c>
      <c r="D12" s="30" t="s">
        <v>468</v>
      </c>
      <c r="E12" s="30" t="s">
        <v>469</v>
      </c>
    </row>
  </sheetData>
  <mergeCells count="1">
    <mergeCell ref="A1:E2"/>
  </mergeCells>
  <conditionalFormatting sqref="B5:B12">
    <cfRule type="expression" priority="2" aboveAverage="0" equalAverage="0" bottom="0" percent="0" rank="0" text="" dxfId="11">
      <formula>B5="عاجلة"</formula>
    </cfRule>
    <cfRule type="expression" priority="3" aboveAverage="0" equalAverage="0" bottom="0" percent="0" rank="0" text="" dxfId="17">
      <formula>B5="عالية"</formula>
    </cfRule>
    <cfRule type="expression" priority="4" aboveAverage="0" equalAverage="0" bottom="0" percent="0" rank="0" text="" dxfId="20">
      <formula>B5="تطويرية"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10.76953125" defaultRowHeight="15" zeroHeight="false" outlineLevelRow="0" outlineLevelCol="0"/>
  <cols>
    <col collapsed="false" customWidth="true" hidden="false" outlineLevel="0" max="1" min="1" style="1" width="50.45"/>
    <col collapsed="false" customWidth="true" hidden="false" outlineLevel="0" max="2" min="2" style="1" width="63.06"/>
    <col collapsed="false" customWidth="true" hidden="false" outlineLevel="0" max="3" min="3" style="1" width="17.66"/>
    <col collapsed="false" customWidth="true" hidden="false" outlineLevel="0" max="4" min="4" style="1" width="63.06"/>
  </cols>
  <sheetData>
    <row r="1" customFormat="false" ht="25.5" hidden="false" customHeight="true" outlineLevel="0" collapsed="false">
      <c r="A1" s="37" t="s">
        <v>470</v>
      </c>
      <c r="B1" s="37"/>
      <c r="C1" s="37"/>
      <c r="D1" s="37"/>
    </row>
    <row r="2" customFormat="false" ht="15" hidden="false" customHeight="false" outlineLevel="0" collapsed="false">
      <c r="A2" s="37"/>
      <c r="B2" s="37"/>
      <c r="C2" s="37"/>
      <c r="D2" s="37"/>
    </row>
    <row r="4" customFormat="false" ht="15" hidden="false" customHeight="false" outlineLevel="0" collapsed="false">
      <c r="A4" s="19" t="s">
        <v>471</v>
      </c>
      <c r="B4" s="19" t="s">
        <v>472</v>
      </c>
      <c r="C4" s="19" t="s">
        <v>473</v>
      </c>
      <c r="D4" s="19" t="s">
        <v>474</v>
      </c>
    </row>
    <row r="5" customFormat="false" ht="15" hidden="false" customHeight="false" outlineLevel="0" collapsed="false">
      <c r="A5" s="21" t="s">
        <v>475</v>
      </c>
      <c r="B5" s="15" t="s">
        <v>476</v>
      </c>
      <c r="C5" s="21" t="s">
        <v>477</v>
      </c>
      <c r="D5" s="15" t="s">
        <v>478</v>
      </c>
    </row>
    <row r="6" customFormat="false" ht="15" hidden="false" customHeight="false" outlineLevel="0" collapsed="false">
      <c r="A6" s="26" t="s">
        <v>3</v>
      </c>
      <c r="B6" s="30" t="s">
        <v>479</v>
      </c>
      <c r="C6" s="26" t="s">
        <v>477</v>
      </c>
      <c r="D6" s="30" t="s">
        <v>478</v>
      </c>
    </row>
    <row r="7" customFormat="false" ht="15" hidden="false" customHeight="false" outlineLevel="0" collapsed="false">
      <c r="A7" s="21" t="s">
        <v>4</v>
      </c>
      <c r="B7" s="15" t="s">
        <v>480</v>
      </c>
      <c r="C7" s="21" t="s">
        <v>481</v>
      </c>
      <c r="D7" s="15" t="s">
        <v>482</v>
      </c>
    </row>
    <row r="8" customFormat="false" ht="15" hidden="false" customHeight="false" outlineLevel="0" collapsed="false">
      <c r="A8" s="26" t="s">
        <v>5</v>
      </c>
      <c r="B8" s="30" t="s">
        <v>483</v>
      </c>
      <c r="C8" s="26" t="s">
        <v>484</v>
      </c>
      <c r="D8" s="30" t="s">
        <v>485</v>
      </c>
    </row>
    <row r="9" customFormat="false" ht="15" hidden="false" customHeight="false" outlineLevel="0" collapsed="false">
      <c r="A9" s="21" t="s">
        <v>486</v>
      </c>
      <c r="B9" s="15" t="s">
        <v>487</v>
      </c>
      <c r="C9" s="21" t="s">
        <v>488</v>
      </c>
      <c r="D9" s="15" t="s">
        <v>489</v>
      </c>
    </row>
    <row r="10" customFormat="false" ht="15" hidden="false" customHeight="false" outlineLevel="0" collapsed="false">
      <c r="A10" s="26" t="s">
        <v>490</v>
      </c>
      <c r="B10" s="30" t="s">
        <v>491</v>
      </c>
      <c r="C10" s="26" t="s">
        <v>492</v>
      </c>
      <c r="D10" s="30" t="s">
        <v>493</v>
      </c>
    </row>
    <row r="11" customFormat="false" ht="15" hidden="false" customHeight="false" outlineLevel="0" collapsed="false">
      <c r="A11" s="21" t="s">
        <v>494</v>
      </c>
      <c r="B11" s="15" t="s">
        <v>495</v>
      </c>
      <c r="C11" s="21" t="s">
        <v>492</v>
      </c>
      <c r="D11" s="15" t="s">
        <v>493</v>
      </c>
    </row>
    <row r="12" customFormat="false" ht="15" hidden="false" customHeight="false" outlineLevel="0" collapsed="false">
      <c r="A12" s="26" t="s">
        <v>170</v>
      </c>
      <c r="B12" s="30" t="s">
        <v>496</v>
      </c>
      <c r="C12" s="26" t="s">
        <v>492</v>
      </c>
      <c r="D12" s="30" t="s">
        <v>478</v>
      </c>
    </row>
    <row r="13" customFormat="false" ht="15" hidden="false" customHeight="false" outlineLevel="0" collapsed="false">
      <c r="A13" s="21" t="s">
        <v>8</v>
      </c>
      <c r="B13" s="15" t="s">
        <v>497</v>
      </c>
      <c r="C13" s="21" t="s">
        <v>498</v>
      </c>
      <c r="D13" s="15" t="s">
        <v>478</v>
      </c>
    </row>
    <row r="14" customFormat="false" ht="15" hidden="false" customHeight="false" outlineLevel="0" collapsed="false">
      <c r="A14" s="26" t="s">
        <v>9</v>
      </c>
      <c r="B14" s="30" t="s">
        <v>499</v>
      </c>
      <c r="C14" s="26" t="s">
        <v>498</v>
      </c>
      <c r="D14" s="30" t="s">
        <v>500</v>
      </c>
    </row>
    <row r="15" customFormat="false" ht="15" hidden="false" customHeight="false" outlineLevel="0" collapsed="false">
      <c r="A15" s="21" t="s">
        <v>11</v>
      </c>
      <c r="B15" s="15" t="s">
        <v>501</v>
      </c>
      <c r="C15" s="21" t="s">
        <v>498</v>
      </c>
      <c r="D15" s="15" t="s">
        <v>478</v>
      </c>
    </row>
    <row r="16" customFormat="false" ht="15" hidden="false" customHeight="false" outlineLevel="0" collapsed="false">
      <c r="A16" s="26" t="s">
        <v>502</v>
      </c>
      <c r="B16" s="30" t="s">
        <v>503</v>
      </c>
      <c r="C16" s="26" t="s">
        <v>498</v>
      </c>
      <c r="D16" s="30" t="s">
        <v>478</v>
      </c>
    </row>
  </sheetData>
  <mergeCells count="1">
    <mergeCell ref="A1:D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2026-08-19T05:50:31Z</dcterms:created>
  <dc:creator>openpyxl</dc:creator>
  <dc:description/>
  <dc:language>en-US</dc:language>
  <cp:lastModifiedBy/>
  <dcterms:modified xsi:type="dcterms:W3CDTF">2026-08-19T06:11:24Z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