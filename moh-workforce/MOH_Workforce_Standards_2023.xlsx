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دليل الاستخدام" sheetId="1" state="visible" r:id="rId1"/>
    <sheet name="لوحة التحكم" sheetId="2" state="visible" r:id="rId2"/>
    <sheet name="عام - الأطباء" sheetId="3" state="visible" r:id="rId3"/>
    <sheet name="عام - أخصائي غير طبيب" sheetId="4" state="visible" r:id="rId4"/>
    <sheet name="عام - الفنيون" sheetId="5" state="visible" r:id="rId5"/>
    <sheet name="عام - الصيادلة" sheetId="6" state="visible" r:id="rId6"/>
    <sheet name="عام - المساعد الصحي" sheetId="7" state="visible" r:id="rId7"/>
    <sheet name="عام - الإداريون" sheetId="8" state="visible" r:id="rId8"/>
    <sheet name="ولادة - الأطباء" sheetId="9" state="visible" r:id="rId9"/>
    <sheet name="ولادة - أخصائي غير طبيب" sheetId="10" state="visible" r:id="rId10"/>
    <sheet name="ولادة - الفنيون" sheetId="11" state="visible" r:id="rId11"/>
    <sheet name="ولادة - الصيادلة" sheetId="12" state="visible" r:id="rId12"/>
    <sheet name="ولادة - الإداريون" sheetId="13" state="visible" r:id="rId13"/>
    <sheet name="الصحة النفسية وإرادة" sheetId="14" state="visible" r:id="rId14"/>
    <sheet name="الرعاية المديدة - الفنية" sheetId="15" state="visible" r:id="rId15"/>
    <sheet name="الرعاية المديدة - الإداريون" sheetId="16" state="visible" r:id="rId16"/>
    <sheet name="الطب الشرعي" sheetId="17" state="visible" r:id="rId17"/>
    <sheet name="حاسبة الأسرة والنسب" sheetId="18" state="visible" r:id="rId18"/>
    <sheet name="نطاق الخدمات" sheetId="19" state="visible" r:id="rId19"/>
    <sheet name="الإيضاحات" sheetId="20" state="visible" r:id="rId20"/>
    <sheet name="التحقق من المطابقة" sheetId="21" state="visible" r:id="rId21"/>
    <sheet name="مصفوفة الحساب" sheetId="22" state="visible" r:id="rId22"/>
  </sheets>
  <definedNames>
    <definedName name="CAP">'لوحة التحكم'!$C$8</definedName>
    <definedName name="HTYPE">'لوحة التحكم'!$C$7</definedName>
    <definedName name="RMODE">'لوحة التحكم'!$C$9</definedName>
    <definedName name="MOBILEBEDS">'لوحة التحكم'!$C$10</definedName>
  </definedNames>
  <calcPr calcId="124519" fullCalcOnLoad="1"/>
</workbook>
</file>

<file path=xl/styles.xml><?xml version="1.0" encoding="utf-8"?>
<styleSheet xmlns="http://schemas.openxmlformats.org/spreadsheetml/2006/main">
  <numFmts count="5">
    <numFmt numFmtId="164" formatCode="0&quot; سرير&quot;"/>
    <numFmt numFmtId="165" formatCode="0.000"/>
    <numFmt numFmtId="166" formatCode="#,##0;[Red]-#,##0;-"/>
    <numFmt numFmtId="167" formatCode="#,##0.0"/>
    <numFmt numFmtId="168" formatCode="#,##0&quot; خدمة&quot;"/>
  </numFmts>
  <fonts count="26">
    <font>
      <name val="Calibri"/>
      <family val="2"/>
      <color theme="1"/>
      <sz val="11"/>
      <scheme val="minor"/>
    </font>
    <font>
      <name val="Arial"/>
      <b val="1"/>
      <color rgb="00FFFFFF"/>
      <sz val="15"/>
    </font>
    <font>
      <name val="Arial"/>
      <i val="1"/>
      <color rgb="00595959"/>
      <sz val="9"/>
    </font>
    <font>
      <name val="Arial"/>
      <b val="1"/>
      <color rgb="00FFFFFF"/>
      <sz val="12"/>
    </font>
    <font>
      <name val="Arial"/>
      <b val="1"/>
      <color rgb="001F3864"/>
      <sz val="10"/>
    </font>
    <font>
      <name val="Arial"/>
      <sz val="10"/>
    </font>
    <font>
      <name val="Arial"/>
      <b val="1"/>
      <sz val="11"/>
    </font>
    <font>
      <name val="Arial"/>
      <b val="1"/>
      <color rgb="000000FF"/>
      <sz val="11"/>
    </font>
    <font>
      <name val="Arial"/>
      <i val="1"/>
      <color rgb="007F7F7F"/>
      <sz val="9"/>
    </font>
    <font>
      <name val="Arial"/>
      <b val="1"/>
      <color rgb="00FFFFFF"/>
      <sz val="10"/>
    </font>
    <font>
      <name val="Arial"/>
      <color rgb="00A6A6A6"/>
      <sz val="8"/>
    </font>
    <font>
      <name val="Arial"/>
      <sz val="9"/>
    </font>
    <font>
      <name val="Arial"/>
      <color rgb="00595959"/>
      <sz val="9"/>
    </font>
    <font>
      <name val="Arial"/>
      <color rgb="00A6A6A6"/>
      <sz val="9"/>
    </font>
    <font>
      <name val="Arial"/>
      <b val="1"/>
      <sz val="10"/>
    </font>
    <font>
      <name val="Arial"/>
      <color rgb="000000FF"/>
      <sz val="10"/>
    </font>
    <font>
      <name val="Arial"/>
      <color rgb="007F7F7F"/>
      <sz val="8"/>
    </font>
    <font>
      <name val="Arial"/>
      <i val="1"/>
      <sz val="9"/>
    </font>
    <font>
      <name val="Arial"/>
      <color rgb="00C00000"/>
      <sz val="8"/>
    </font>
    <font>
      <name val="Arial"/>
      <color rgb="00BFBFBF"/>
      <sz val="8"/>
    </font>
    <font>
      <name val="Arial"/>
      <color rgb="00D9D9D9"/>
      <sz val="8"/>
    </font>
    <font>
      <name val="Arial"/>
      <b val="1"/>
      <color rgb="00FFFFFF"/>
      <sz val="11"/>
    </font>
    <font>
      <name val="Arial"/>
      <i val="1"/>
      <color rgb="00C00000"/>
      <sz val="9"/>
    </font>
    <font>
      <name val="Arial"/>
      <b val="1"/>
      <color rgb="001F3864"/>
      <sz val="11"/>
    </font>
    <font>
      <name val="Arial"/>
      <i val="1"/>
      <color rgb="00C00000"/>
      <sz val="8"/>
    </font>
    <font>
      <name val="Arial"/>
      <b val="1"/>
      <color rgb="001F3864"/>
      <sz val="9"/>
    </font>
  </fonts>
  <fills count="9">
    <fill>
      <patternFill/>
    </fill>
    <fill>
      <patternFill patternType="gray125"/>
    </fill>
    <fill>
      <patternFill patternType="solid">
        <fgColor rgb="001F3864"/>
      </patternFill>
    </fill>
    <fill>
      <patternFill patternType="solid">
        <fgColor rgb="00EEF3F8"/>
      </patternFill>
    </fill>
    <fill>
      <patternFill patternType="solid">
        <fgColor rgb="001F6F6B"/>
      </patternFill>
    </fill>
    <fill>
      <patternFill patternType="solid">
        <fgColor rgb="00FFF2CC"/>
      </patternFill>
    </fill>
    <fill>
      <patternFill patternType="solid">
        <fgColor rgb="00D9E2F3"/>
      </patternFill>
    </fill>
    <fill>
      <patternFill patternType="solid">
        <fgColor rgb="00E2F0D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xf>
    <xf numFmtId="0" fontId="4" fillId="0" borderId="0" pivotButton="0" quotePrefix="0" xfId="0"/>
    <xf numFmtId="0" fontId="5" fillId="0" borderId="0" applyAlignment="1" pivotButton="0" quotePrefix="0" xfId="0">
      <alignment horizontal="right" vertical="center" wrapText="1"/>
    </xf>
    <xf numFmtId="0" fontId="6" fillId="3" borderId="1" applyAlignment="1" pivotButton="0" quotePrefix="0" xfId="0">
      <alignment horizontal="right" vertical="center"/>
    </xf>
    <xf numFmtId="0" fontId="7" fillId="5" borderId="1" applyAlignment="1" pivotButton="0" quotePrefix="0" xfId="0">
      <alignment horizontal="center" vertical="center"/>
    </xf>
    <xf numFmtId="0" fontId="8" fillId="0" borderId="0" pivotButton="0" quotePrefix="0" xfId="0"/>
    <xf numFmtId="3" fontId="7" fillId="5" borderId="1" applyAlignment="1" pivotButton="0" quotePrefix="0" xfId="0">
      <alignment horizontal="center" vertical="center"/>
    </xf>
    <xf numFmtId="0" fontId="9" fillId="2" borderId="1" applyAlignment="1" pivotButton="0" quotePrefix="0" xfId="0">
      <alignment horizontal="center" vertical="center" wrapText="1"/>
    </xf>
    <xf numFmtId="0" fontId="14" fillId="0" borderId="1" applyAlignment="1" pivotButton="0" quotePrefix="0" xfId="0">
      <alignment horizontal="right"/>
    </xf>
    <xf numFmtId="3" fontId="5" fillId="0" borderId="1" applyAlignment="1" pivotButton="0" quotePrefix="0" xfId="0">
      <alignment horizontal="center"/>
    </xf>
    <xf numFmtId="166" fontId="5" fillId="0" borderId="1" applyAlignment="1" pivotButton="0" quotePrefix="0" xfId="0">
      <alignment horizontal="center"/>
    </xf>
    <xf numFmtId="9" fontId="5" fillId="0" borderId="1" applyAlignment="1" pivotButton="0" quotePrefix="0" xfId="0">
      <alignment horizontal="center"/>
    </xf>
    <xf numFmtId="2" fontId="5" fillId="0" borderId="1" applyAlignment="1" pivotButton="0" quotePrefix="0" xfId="0">
      <alignment horizontal="center"/>
    </xf>
    <xf numFmtId="0" fontId="5" fillId="0" borderId="1" applyAlignment="1" pivotButton="0" quotePrefix="0" xfId="0">
      <alignment horizontal="center"/>
    </xf>
    <xf numFmtId="0" fontId="20" fillId="0" borderId="0" pivotButton="0" quotePrefix="0" xfId="0"/>
    <xf numFmtId="0" fontId="21" fillId="2" borderId="1" pivotButton="0" quotePrefix="0" xfId="0"/>
    <xf numFmtId="3" fontId="21" fillId="2" borderId="1" applyAlignment="1" pivotButton="0" quotePrefix="0" xfId="0">
      <alignment horizontal="center"/>
    </xf>
    <xf numFmtId="166" fontId="21" fillId="2" borderId="1" applyAlignment="1" pivotButton="0" quotePrefix="0" xfId="0">
      <alignment horizontal="center"/>
    </xf>
    <xf numFmtId="9" fontId="21" fillId="2" borderId="1" applyAlignment="1" pivotButton="0" quotePrefix="0" xfId="0">
      <alignment horizontal="center"/>
    </xf>
    <xf numFmtId="2" fontId="21" fillId="2" borderId="1" applyAlignment="1" pivotButton="0" quotePrefix="0" xfId="0">
      <alignment horizontal="center"/>
    </xf>
    <xf numFmtId="0" fontId="21" fillId="2" borderId="1" applyAlignment="1" pivotButton="0" quotePrefix="0" xfId="0">
      <alignment horizontal="center"/>
    </xf>
    <xf numFmtId="0" fontId="2" fillId="0" borderId="0" applyAlignment="1" pivotButton="0" quotePrefix="0" xfId="0">
      <alignment horizontal="right" wrapText="1"/>
    </xf>
    <xf numFmtId="0" fontId="10" fillId="0" borderId="0" applyAlignment="1" pivotButton="0" quotePrefix="0" xfId="0">
      <alignment horizontal="left"/>
    </xf>
    <xf numFmtId="1" fontId="10" fillId="0" borderId="0" pivotButton="0" quotePrefix="0" xfId="0"/>
    <xf numFmtId="165" fontId="10" fillId="0" borderId="0" pivotButton="0" quotePrefix="0" xfId="0"/>
    <xf numFmtId="0" fontId="9" fillId="4" borderId="1" applyAlignment="1" pivotButton="0" quotePrefix="0" xfId="0">
      <alignment horizontal="center" vertical="center" wrapText="1"/>
    </xf>
    <xf numFmtId="164" fontId="9" fillId="4" borderId="1" applyAlignment="1" pivotButton="0" quotePrefix="0" xfId="0">
      <alignment horizontal="center" vertical="center" wrapText="1"/>
    </xf>
    <xf numFmtId="0" fontId="11" fillId="0" borderId="0" pivotButton="0" quotePrefix="0" xfId="0"/>
    <xf numFmtId="0" fontId="12" fillId="0" borderId="0" pivotButton="0" quotePrefix="0" xfId="0"/>
    <xf numFmtId="3" fontId="5" fillId="6" borderId="0" applyAlignment="1" pivotButton="0" quotePrefix="0" xfId="0">
      <alignment horizontal="center"/>
    </xf>
    <xf numFmtId="3" fontId="14" fillId="7" borderId="1" applyAlignment="1" pivotButton="0" quotePrefix="0" xfId="0">
      <alignment horizontal="center"/>
    </xf>
    <xf numFmtId="3" fontId="15" fillId="5" borderId="1" applyAlignment="1" pivotButton="0" quotePrefix="0" xfId="0">
      <alignment horizontal="center"/>
    </xf>
    <xf numFmtId="166" fontId="5" fillId="0" borderId="0" applyAlignment="1" pivotButton="0" quotePrefix="0" xfId="0">
      <alignment horizontal="center"/>
    </xf>
    <xf numFmtId="9" fontId="5" fillId="0" borderId="0" applyAlignment="1" pivotButton="0" quotePrefix="0" xfId="0">
      <alignment horizontal="center"/>
    </xf>
    <xf numFmtId="0" fontId="5" fillId="0" borderId="0" applyAlignment="1" pivotButton="0" quotePrefix="0" xfId="0">
      <alignment horizontal="center"/>
    </xf>
    <xf numFmtId="2" fontId="13" fillId="0" borderId="0" pivotButton="0" quotePrefix="0" xfId="0"/>
    <xf numFmtId="0" fontId="16" fillId="0" borderId="0" applyAlignment="1" pivotButton="0" quotePrefix="0" xfId="0">
      <alignment horizontal="right" wrapText="1"/>
    </xf>
    <xf numFmtId="0" fontId="9" fillId="2" borderId="1" pivotButton="0" quotePrefix="0" xfId="0"/>
    <xf numFmtId="3" fontId="9" fillId="2" borderId="1" applyAlignment="1" pivotButton="0" quotePrefix="0" xfId="0">
      <alignment horizontal="center"/>
    </xf>
    <xf numFmtId="0" fontId="9" fillId="2" borderId="1" applyAlignment="1" pivotButton="0" quotePrefix="0" xfId="0">
      <alignment horizontal="center"/>
    </xf>
    <xf numFmtId="9" fontId="9" fillId="2" borderId="1" applyAlignment="1" pivotButton="0" quotePrefix="0" xfId="0">
      <alignment horizontal="center"/>
    </xf>
    <xf numFmtId="3" fontId="17" fillId="8" borderId="0" applyAlignment="1" pivotButton="0" quotePrefix="0" xfId="0">
      <alignment horizontal="center"/>
    </xf>
    <xf numFmtId="0" fontId="18" fillId="0" borderId="0" pivotButton="0" quotePrefix="0" xfId="0"/>
    <xf numFmtId="0" fontId="5" fillId="0" borderId="0" pivotButton="0" quotePrefix="0" xfId="0"/>
    <xf numFmtId="0" fontId="21" fillId="4" borderId="0" applyAlignment="1" pivotButton="0" quotePrefix="0" xfId="0">
      <alignment horizontal="center"/>
    </xf>
    <xf numFmtId="0" fontId="14" fillId="3" borderId="1" applyAlignment="1" pivotButton="0" quotePrefix="0" xfId="0">
      <alignment horizontal="right"/>
    </xf>
    <xf numFmtId="167" fontId="15" fillId="5" borderId="1" applyAlignment="1" pivotButton="0" quotePrefix="0" xfId="0">
      <alignment horizontal="center"/>
    </xf>
    <xf numFmtId="0" fontId="23" fillId="0" borderId="0" pivotButton="0" quotePrefix="0" xfId="0"/>
    <xf numFmtId="0" fontId="9" fillId="2" borderId="1" applyAlignment="1" pivotButton="0" quotePrefix="0" xfId="0">
      <alignment horizontal="center" wrapText="1"/>
    </xf>
    <xf numFmtId="0" fontId="5" fillId="0" borderId="1" pivotButton="0" quotePrefix="0" xfId="0"/>
    <xf numFmtId="3" fontId="5" fillId="6" borderId="1" applyAlignment="1" pivotButton="0" quotePrefix="0" xfId="0">
      <alignment horizontal="center"/>
    </xf>
    <xf numFmtId="3" fontId="0" fillId="6" borderId="1" applyAlignment="1" pivotButton="0" quotePrefix="0" xfId="0">
      <alignment horizontal="center"/>
    </xf>
    <xf numFmtId="0" fontId="0" fillId="6" borderId="1" applyAlignment="1" pivotButton="0" quotePrefix="0" xfId="0">
      <alignment horizontal="center"/>
    </xf>
    <xf numFmtId="0" fontId="15" fillId="5" borderId="1" pivotButton="0" quotePrefix="0" xfId="0"/>
    <xf numFmtId="0" fontId="24" fillId="0" borderId="0" applyAlignment="1" pivotButton="0" quotePrefix="0" xfId="0">
      <alignment horizontal="right" wrapText="1"/>
    </xf>
    <xf numFmtId="0" fontId="14" fillId="0" borderId="1" applyAlignment="1" pivotButton="0" quotePrefix="0" xfId="0">
      <alignment horizontal="right" vertical="center" wrapText="1"/>
    </xf>
    <xf numFmtId="0" fontId="12" fillId="0" borderId="0" applyAlignment="1" pivotButton="0" quotePrefix="0" xfId="0">
      <alignment horizontal="right" vertical="center" wrapText="1"/>
    </xf>
    <xf numFmtId="0" fontId="5" fillId="0" borderId="1" applyAlignment="1" pivotButton="0" quotePrefix="0" xfId="0">
      <alignment horizontal="right" vertical="center" wrapText="1"/>
    </xf>
    <xf numFmtId="2" fontId="14" fillId="7" borderId="1" applyAlignment="1" pivotButton="0" quotePrefix="0" xfId="0">
      <alignment horizontal="center"/>
    </xf>
    <xf numFmtId="0" fontId="14" fillId="0" borderId="1" pivotButton="0" quotePrefix="0" xfId="0"/>
    <xf numFmtId="0" fontId="11" fillId="0" borderId="1" applyAlignment="1" pivotButton="0" quotePrefix="0" xfId="0">
      <alignment horizontal="center"/>
    </xf>
    <xf numFmtId="0" fontId="22" fillId="0" borderId="0" applyAlignment="1" pivotButton="0" quotePrefix="0" xfId="0">
      <alignment horizontal="right" wrapText="1"/>
    </xf>
    <xf numFmtId="0" fontId="11" fillId="0" borderId="1" applyAlignment="1" pivotButton="0" quotePrefix="0" xfId="0">
      <alignment horizontal="right"/>
    </xf>
    <xf numFmtId="168" fontId="9" fillId="4" borderId="0" applyAlignment="1" pivotButton="0" quotePrefix="0" xfId="0">
      <alignment horizontal="center"/>
    </xf>
    <xf numFmtId="0" fontId="9" fillId="4" borderId="0" pivotButton="0" quotePrefix="0" xfId="0"/>
    <xf numFmtId="0" fontId="4" fillId="0" borderId="1" applyAlignment="1" pivotButton="0" quotePrefix="0" xfId="0">
      <alignment horizontal="center" vertical="center"/>
    </xf>
    <xf numFmtId="0" fontId="25" fillId="0" borderId="0" pivotButton="0" quotePrefix="0" xfId="0"/>
    <xf numFmtId="0" fontId="11" fillId="0" borderId="0" applyAlignment="1" pivotButton="0" quotePrefix="0" xfId="0">
      <alignment horizontal="right" vertical="center" wrapText="1"/>
    </xf>
    <xf numFmtId="0" fontId="2" fillId="0" borderId="0" pivotButton="0" quotePrefix="0" xfId="0"/>
    <xf numFmtId="0" fontId="19" fillId="0" borderId="0" applyAlignment="1" pivotButton="0" quotePrefix="0" xfId="0">
      <alignment horizontal="center"/>
    </xf>
    <xf numFmtId="0" fontId="9" fillId="4" borderId="0" applyAlignment="1" pivotButton="0" quotePrefix="0" xfId="0">
      <alignment horizontal="center" wrapText="1"/>
    </xf>
    <xf numFmtId="0" fontId="14" fillId="0" borderId="0" pivotButton="0" quotePrefix="0" xfId="0"/>
    <xf numFmtId="3" fontId="5" fillId="0" borderId="0" pivotButton="0" quotePrefix="0" xfId="0"/>
  </cellXfs>
  <cellStyles count="1">
    <cellStyle name="Normal" xfId="0" builtinId="0" hidden="0"/>
  </cellStyles>
  <dxfs count="3">
    <dxf>
      <font>
        <name val="Arial"/>
        <color rgb="00833C0B"/>
      </font>
      <fill>
        <patternFill patternType="solid">
          <fgColor rgb="00F8CBAD"/>
        </patternFill>
      </fill>
    </dxf>
    <dxf>
      <font>
        <name val="Arial"/>
        <color rgb="00375623"/>
      </font>
      <fill>
        <patternFill patternType="solid">
          <fgColor rgb="00C6E0B4"/>
        </patternFill>
      </fill>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F8F00"/>
    <outlinePr summaryBelow="1" summaryRight="1"/>
    <pageSetUpPr/>
  </sheetPr>
  <dimension ref="A1:D30"/>
  <sheetViews>
    <sheetView rightToLeft="1" workbookViewId="0">
      <selection activeCell="A1" sqref="A1"/>
    </sheetView>
  </sheetViews>
  <sheetFormatPr baseColWidth="8" defaultRowHeight="15"/>
  <cols>
    <col width="24" customWidth="1" min="1" max="1"/>
    <col width="34" customWidth="1" min="2" max="2"/>
    <col width="34" customWidth="1" min="3" max="3"/>
    <col width="34" customWidth="1" min="4" max="4"/>
  </cols>
  <sheetData>
    <row r="1" ht="30" customHeight="1">
      <c r="A1" s="1" t="inlineStr">
        <is>
          <t>دليل استخدام نموذج حساب معايير القوى العاملة</t>
        </is>
      </c>
    </row>
    <row r="2" ht="20" customHeight="1">
      <c r="A2" s="2" t="inlineStr">
        <is>
          <t>المصدر: المعايير القياسية للقوى العاملة بمستشفيات وزارة الصحة — النسخة الثانية 2023م — وكالة الوزارة للخدمات العلاجية / الإدارة العامة لشؤون المستشفيات</t>
        </is>
      </c>
    </row>
    <row r="5" ht="24" customHeight="1">
      <c r="A5" s="3" t="inlineStr">
        <is>
          <t>كيف يعمل النموذج؟</t>
        </is>
      </c>
    </row>
    <row r="6" ht="30" customHeight="1">
      <c r="A6" s="4" t="inlineStr">
        <is>
          <t>1</t>
        </is>
      </c>
      <c r="B6" s="5" t="inlineStr">
        <is>
          <t>افتح ورقة «لوحة التحكم» وأدخل: اسم المستشفى، نوع المستشفى، والسعة السريرية (عدد الأسرة).</t>
        </is>
      </c>
    </row>
    <row r="7" ht="30" customHeight="1">
      <c r="A7" s="4" t="inlineStr">
        <is>
          <t>2</t>
        </is>
      </c>
      <c r="B7" s="5" t="inlineStr">
        <is>
          <t>تُحتسب أعمدة «الاحتياج للسعة المدخلة» في كل ورقة معيار تلقائياً بمجرد إدخال السعة السريرية.</t>
        </is>
      </c>
    </row>
    <row r="8" ht="30" customHeight="1">
      <c r="A8" s="4" t="inlineStr">
        <is>
          <t>3</t>
        </is>
      </c>
      <c r="B8" s="5" t="inlineStr">
        <is>
          <t>أدخل الأعداد الحالية للموظفين في عمود «الموجود فعلياً» (الخلايا الصفراء) في أوراق المعايير.</t>
        </is>
      </c>
    </row>
    <row r="9" ht="30" customHeight="1">
      <c r="A9" s="4" t="inlineStr">
        <is>
          <t>4</t>
        </is>
      </c>
      <c r="B9" s="5" t="inlineStr">
        <is>
          <t>تظهر الفجوة ونسبة التغطية والحالة تلقائياً لكل مسمى وظيفي، ويتجمّع الملخص في «لوحة التحكم».</t>
        </is>
      </c>
    </row>
    <row r="11" ht="24" customHeight="1">
      <c r="A11" s="3" t="inlineStr">
        <is>
          <t>قواعد الحساب</t>
        </is>
      </c>
    </row>
    <row r="12" ht="30" customHeight="1">
      <c r="A12" s="4" t="inlineStr">
        <is>
          <t>الشرائح المعيارية</t>
        </is>
      </c>
      <c r="B12" s="5" t="inlineStr">
        <is>
          <t>الدليل يحدد الأعداد عند سعات محددة (50 / 100 / 150 / 200 / 300 / 400 / 500 سرير للمستشفيات العامة).</t>
        </is>
      </c>
    </row>
    <row r="13" ht="30" customHeight="1">
      <c r="A13" s="4" t="inlineStr">
        <is>
          <t>السعات غير المذكورة</t>
        </is>
      </c>
      <c r="B13" s="5" t="inlineStr">
        <is>
          <t>يُستخدم الاستيفاء الخطي (Linear Interpolation) بين أقرب شريحتين. مثال: سعة 250 سرير = القيمة عند 200 + نصف الفرق بين 200 و 300.</t>
        </is>
      </c>
    </row>
    <row r="14" ht="30" customHeight="1">
      <c r="A14" s="4" t="inlineStr">
        <is>
          <t>أقل من أصغر شريحة</t>
        </is>
      </c>
      <c r="B14" s="5" t="inlineStr">
        <is>
          <t>يُحسب تناسبياً من أصغر شريحة (القيمة × السعة ÷ أصغر شريحة).</t>
        </is>
      </c>
    </row>
    <row r="15" ht="30" customHeight="1">
      <c r="A15" s="4" t="inlineStr">
        <is>
          <t>أكبر من أكبر شريحة</t>
        </is>
      </c>
      <c r="B15" s="5" t="inlineStr">
        <is>
          <t>يُحسب تناسبياً من أكبر شريحة (القيمة × السعة ÷ أكبر شريحة).</t>
        </is>
      </c>
    </row>
    <row r="16" ht="30" customHeight="1">
      <c r="A16" s="4" t="inlineStr">
        <is>
          <t>التقريب</t>
        </is>
      </c>
      <c r="B16" s="5" t="inlineStr">
        <is>
          <t>افتراضياً «تقريب لأعلى» لأن الدليل يمثل الحد الأدنى للقوى العاملة. يمكن تغييره من لوحة التحكم إلى «تقريب لأقرب صحيح».</t>
        </is>
      </c>
    </row>
    <row r="17" ht="30" customHeight="1">
      <c r="A17" s="4" t="inlineStr">
        <is>
          <t>عند السعات المعيارية</t>
        </is>
      </c>
      <c r="B17" s="5" t="inlineStr">
        <is>
          <t>تُطابق نتائج النموذج أرقام الدليل حرفياً (تم التحقق من كل جدول مقابل المجاميع المنشورة).</t>
        </is>
      </c>
    </row>
    <row r="19" ht="24" customHeight="1">
      <c r="A19" s="3" t="inlineStr">
        <is>
          <t>دلالة الألوان</t>
        </is>
      </c>
    </row>
    <row r="20" ht="30" customHeight="1">
      <c r="A20" s="4" t="inlineStr">
        <is>
          <t>أصفر / خط أزرق</t>
        </is>
      </c>
      <c r="B20" s="5" t="inlineStr">
        <is>
          <t>خلايا إدخال — أنت من يعبّئها.</t>
        </is>
      </c>
    </row>
    <row r="21" ht="30" customHeight="1">
      <c r="A21" s="4" t="inlineStr">
        <is>
          <t>أخضر فاتح</t>
        </is>
      </c>
      <c r="B21" s="5" t="inlineStr">
        <is>
          <t>خلايا محسوبة تلقائياً — لا تُعدَّل.</t>
        </is>
      </c>
    </row>
    <row r="22" ht="30" customHeight="1">
      <c r="A22" s="4" t="inlineStr">
        <is>
          <t>أزرق فاتح</t>
        </is>
      </c>
      <c r="B22" s="5" t="inlineStr">
        <is>
          <t>قيم المعيار كما وردت في الدليل — مرجعية ثابتة.</t>
        </is>
      </c>
    </row>
    <row r="23" ht="30" customHeight="1">
      <c r="A23" s="4" t="inlineStr">
        <is>
          <t>رمادي</t>
        </is>
      </c>
      <c r="B23" s="5" t="inlineStr">
        <is>
          <t>صفوف مقارنة/تدقيق.</t>
        </is>
      </c>
    </row>
    <row r="25" ht="24" customHeight="1">
      <c r="A25" s="3" t="inlineStr">
        <is>
          <t>تنبيهات مهنية</t>
        </is>
      </c>
    </row>
    <row r="26" ht="30" customHeight="1">
      <c r="A26" s="4" t="inlineStr">
        <is>
          <t>الحد الأدنى</t>
        </is>
      </c>
      <c r="B26" s="5" t="inlineStr">
        <is>
          <t>المعيار يمثل الحد الأدنى للقوى العاملة وليس العدد الأمثل (إيضاح 1).</t>
        </is>
      </c>
    </row>
    <row r="27" ht="30" customHeight="1">
      <c r="A27" s="4" t="inlineStr">
        <is>
          <t>نطاق الخدمة</t>
        </is>
      </c>
      <c r="B27" s="5" t="inlineStr">
        <is>
          <t>لا يُطبَّق معيار أي تخصص ما لم تتوفر خدمته فعلياً في المنشأة (إيضاح 42) — راجع ورقة «نطاق الخدمات».</t>
        </is>
      </c>
    </row>
    <row r="28" ht="30" customHeight="1">
      <c r="A28" s="4" t="inlineStr">
        <is>
          <t>العنايات المركزة</t>
        </is>
      </c>
      <c r="B28" s="5" t="inlineStr">
        <is>
          <t>يُطبَّق معيار العنايات المركزة فقط إذا كانت المستشفى تقدم الخدمة ومعتمدة (إيضاح 8).</t>
        </is>
      </c>
    </row>
    <row r="29" ht="30" customHeight="1">
      <c r="A29" s="4" t="inlineStr">
        <is>
          <t>الأقسام المشروطة</t>
        </is>
      </c>
      <c r="B29" s="5" t="inlineStr">
        <is>
          <t>الأورام، زراعة القوقعة، العقم، جراحة السمنة، التأهيل الطبي — تُطبَّق عند اعتماد المركز فقط (إيضاحات 34، 37-41).</t>
        </is>
      </c>
    </row>
    <row r="30" ht="30" customHeight="1">
      <c r="A30" s="4" t="inlineStr">
        <is>
          <t>راجع الإيضاحات</t>
        </is>
      </c>
      <c r="B30" s="5" t="inlineStr">
        <is>
          <t>ورقة «الإيضاحات» تحتوي الإيضاحات الـ 42 الواردة في الدليل كاملة.</t>
        </is>
      </c>
    </row>
  </sheetData>
  <mergeCells count="25">
    <mergeCell ref="A5:D5"/>
    <mergeCell ref="B14:D14"/>
    <mergeCell ref="B23:D23"/>
    <mergeCell ref="B8:D8"/>
    <mergeCell ref="B17:D17"/>
    <mergeCell ref="B13:D13"/>
    <mergeCell ref="A19:D19"/>
    <mergeCell ref="B29:D29"/>
    <mergeCell ref="B28:D28"/>
    <mergeCell ref="B9:D9"/>
    <mergeCell ref="B30:D30"/>
    <mergeCell ref="A11:D11"/>
    <mergeCell ref="B15:D15"/>
    <mergeCell ref="B6:D6"/>
    <mergeCell ref="B20:D20"/>
    <mergeCell ref="A1:D1"/>
    <mergeCell ref="B26:D26"/>
    <mergeCell ref="A25:D25"/>
    <mergeCell ref="B7:D7"/>
    <mergeCell ref="B16:D16"/>
    <mergeCell ref="B22:D22"/>
    <mergeCell ref="B27:D27"/>
    <mergeCell ref="B21:D21"/>
    <mergeCell ref="A2:D2"/>
    <mergeCell ref="B12:D12"/>
  </mergeCells>
  <pageMargins left="0.75" right="0.75" top="1" bottom="1" header="0.5" footer="0.5"/>
</worksheet>
</file>

<file path=xl/worksheets/sheet2.xml><?xml version="1.0" encoding="utf-8"?>
<worksheet xmlns="http://schemas.openxmlformats.org/spreadsheetml/2006/main">
  <sheetPr>
    <tabColor rgb="00BF8F00"/>
    <outlinePr summaryBelow="1" summaryRight="1"/>
    <pageSetUpPr/>
  </sheetPr>
  <dimension ref="A1:I25"/>
  <sheetViews>
    <sheetView rightToLeft="1" workbookViewId="0">
      <selection activeCell="A1" sqref="A1"/>
    </sheetView>
  </sheetViews>
  <sheetFormatPr baseColWidth="8" defaultRowHeight="15"/>
  <cols>
    <col width="3" customWidth="1" min="1" max="1"/>
    <col width="34" customWidth="1" min="2" max="2"/>
    <col width="18" customWidth="1" min="3" max="3"/>
    <col width="14" customWidth="1" min="4" max="4"/>
    <col width="18" customWidth="1" min="5" max="5"/>
    <col width="13" customWidth="1" min="6" max="6"/>
    <col width="15" customWidth="1" min="7" max="7"/>
    <col width="12" customWidth="1" min="8" max="8"/>
    <col width="3" customWidth="1" min="9" max="9"/>
  </cols>
  <sheetData>
    <row r="1" ht="30" customHeight="1">
      <c r="A1" s="1" t="inlineStr">
        <is>
          <t>لوحة التحكم — حساب الاحتياج من القوى العاملة</t>
        </is>
      </c>
    </row>
    <row r="2" ht="20" customHeight="1">
      <c r="A2" s="2" t="inlineStr">
        <is>
          <t>المصدر: المعايير القياسية للقوى العاملة بمستشفيات وزارة الصحة — النسخة الثانية 2023م — وكالة الوزارة للخدمات العلاجية / الإدارة العامة لشؤون المستشفيات</t>
        </is>
      </c>
    </row>
    <row r="4" ht="24" customHeight="1">
      <c r="B4" s="3" t="inlineStr">
        <is>
          <t>① بيانات المستشفى — عبّئ الخلايا الصفراء</t>
        </is>
      </c>
    </row>
    <row r="5" ht="22" customHeight="1">
      <c r="B5" s="6" t="inlineStr">
        <is>
          <t>اسم المستشفى</t>
        </is>
      </c>
      <c r="C5" s="7" t="inlineStr">
        <is>
          <t>مستشفى الملك فهد العام (مثال — استبدله)</t>
        </is>
      </c>
    </row>
    <row r="6" ht="22" customHeight="1">
      <c r="B6" s="6" t="inlineStr">
        <is>
          <t>المنطقة / التجمع الصحي</t>
        </is>
      </c>
      <c r="C6" s="7" t="inlineStr">
        <is>
          <t>تجمع ... الصحي (مثال — استبدله)</t>
        </is>
      </c>
    </row>
    <row r="7" ht="22" customHeight="1">
      <c r="B7" s="6" t="inlineStr">
        <is>
          <t>نوع المستشفى</t>
        </is>
      </c>
      <c r="C7" s="7" t="inlineStr">
        <is>
          <t>مستشفى عام</t>
        </is>
      </c>
      <c r="E7" s="8" t="inlineStr">
        <is>
          <t>◄ اختر من القائمة</t>
        </is>
      </c>
    </row>
    <row r="8" ht="22" customHeight="1">
      <c r="B8" s="6" t="inlineStr">
        <is>
          <t>السعة السريرية (عدد الأسرة)</t>
        </is>
      </c>
      <c r="C8" s="9" t="n">
        <v>250</v>
      </c>
      <c r="E8" s="8" t="inlineStr">
        <is>
          <t>◄ أي رقم؛ يُستوفى خطياً بين شرائح الدليل</t>
        </is>
      </c>
    </row>
    <row r="9" ht="22" customHeight="1">
      <c r="B9" s="6" t="inlineStr">
        <is>
          <t>طريقة التقريب</t>
        </is>
      </c>
      <c r="C9" s="7" t="inlineStr">
        <is>
          <t>تقريب لأعلى</t>
        </is>
      </c>
      <c r="E9" s="8" t="inlineStr">
        <is>
          <t>◄ الدليل حد أدنى ⇒ الافتراضي: تقريب لأعلى</t>
        </is>
      </c>
    </row>
    <row r="10" ht="22" customHeight="1">
      <c r="B10" s="6" t="inlineStr">
        <is>
          <t>اعتماد الأسرة المتحركة</t>
        </is>
      </c>
      <c r="C10" s="7" t="inlineStr">
        <is>
          <t>لا</t>
        </is>
      </c>
      <c r="E10" s="8" t="inlineStr">
        <is>
          <t>◄ إيضاحات 26-29: تؤثر على نسبة التمريض لكل سرير</t>
        </is>
      </c>
    </row>
    <row r="11" ht="22" customHeight="1">
      <c r="B11" s="6" t="inlineStr">
        <is>
          <t>تاريخ التقييم</t>
        </is>
      </c>
      <c r="C11" s="7" t="inlineStr">
        <is>
          <t>1447/01/01هـ</t>
        </is>
      </c>
    </row>
    <row r="13" ht="24" customHeight="1">
      <c r="B13" s="3" t="inlineStr">
        <is>
          <t>② ملخص الاحتياج والفجوة (يُحدَّث تلقائياً)</t>
        </is>
      </c>
    </row>
    <row r="14" ht="36" customHeight="1">
      <c r="B14" s="10" t="inlineStr">
        <is>
          <t>الفئة</t>
        </is>
      </c>
      <c r="C14" s="10" t="inlineStr">
        <is>
          <t>الاحتياج حسب المعيار</t>
        </is>
      </c>
      <c r="D14" s="10" t="inlineStr">
        <is>
          <t>الموجود فعلياً</t>
        </is>
      </c>
      <c r="E14" s="10" t="inlineStr">
        <is>
          <t>الفجوة (+فائض / -عجز)</t>
        </is>
      </c>
      <c r="F14" s="10" t="inlineStr">
        <is>
          <t>نسبة التغطية</t>
        </is>
      </c>
      <c r="G14" s="10" t="inlineStr">
        <is>
          <t>المعدل لكل سرير</t>
        </is>
      </c>
      <c r="H14" s="10" t="inlineStr">
        <is>
          <t>الحالة</t>
        </is>
      </c>
    </row>
    <row r="15">
      <c r="B15" s="11" t="inlineStr">
        <is>
          <t>الأطباء</t>
        </is>
      </c>
      <c r="C15" s="12">
        <f>INDEX('مصفوفة الحساب'!$B$4:$E$11,MATCH($I15,'مصفوفة الحساب'!$A$4:$A$11,0),MATCH(HTYPE,'مصفوفة الحساب'!$B$2:$E$2,0))</f>
        <v/>
      </c>
      <c r="D15" s="12">
        <f>INDEX('مصفوفة الحساب'!$F$4:$I$11,MATCH($I15,'مصفوفة الحساب'!$A$4:$A$11,0),MATCH(HTYPE,'مصفوفة الحساب'!$F$2:$I$2,0))</f>
        <v/>
      </c>
      <c r="E15" s="13">
        <f>D15-C15</f>
        <v/>
      </c>
      <c r="F15" s="14">
        <f>IF(C15=0,"",D15/C15)</f>
        <v/>
      </c>
      <c r="G15" s="15">
        <f>IF(CAP=0,"",C15/CAP)</f>
        <v/>
      </c>
      <c r="H15" s="16">
        <f>IF(C15=0,"لا ينطبق",IF(D15&gt;=C15,"مكتمل",IF(D15=0,"لم يُدخل","عجز")))</f>
        <v/>
      </c>
      <c r="I15" s="17" t="inlineStr">
        <is>
          <t>طبيب</t>
        </is>
      </c>
    </row>
    <row r="16">
      <c r="B16" s="11" t="inlineStr">
        <is>
          <t>التمريض</t>
        </is>
      </c>
      <c r="C16" s="12">
        <f>INDEX('مصفوفة الحساب'!$B$4:$E$11,MATCH($I16,'مصفوفة الحساب'!$A$4:$A$11,0),MATCH(HTYPE,'مصفوفة الحساب'!$B$2:$E$2,0))</f>
        <v/>
      </c>
      <c r="D16" s="12">
        <f>INDEX('مصفوفة الحساب'!$F$4:$I$11,MATCH($I16,'مصفوفة الحساب'!$A$4:$A$11,0),MATCH(HTYPE,'مصفوفة الحساب'!$F$2:$I$2,0))</f>
        <v/>
      </c>
      <c r="E16" s="13">
        <f>D16-C16</f>
        <v/>
      </c>
      <c r="F16" s="14">
        <f>IF(C16=0,"",D16/C16)</f>
        <v/>
      </c>
      <c r="G16" s="15">
        <f>IF(CAP=0,"",C16/CAP)</f>
        <v/>
      </c>
      <c r="H16" s="16">
        <f>IF(C16=0,"لا ينطبق",IF(D16&gt;=C16,"مكتمل",IF(D16=0,"لم يُدخل","عجز")))</f>
        <v/>
      </c>
      <c r="I16" s="17" t="inlineStr">
        <is>
          <t>تمريض</t>
        </is>
      </c>
    </row>
    <row r="17">
      <c r="B17" s="11" t="inlineStr">
        <is>
          <t>القبالة</t>
        </is>
      </c>
      <c r="C17" s="12">
        <f>INDEX('مصفوفة الحساب'!$B$4:$E$11,MATCH($I17,'مصفوفة الحساب'!$A$4:$A$11,0),MATCH(HTYPE,'مصفوفة الحساب'!$B$2:$E$2,0))</f>
        <v/>
      </c>
      <c r="D17" s="12">
        <f>INDEX('مصفوفة الحساب'!$F$4:$I$11,MATCH($I17,'مصفوفة الحساب'!$A$4:$A$11,0),MATCH(HTYPE,'مصفوفة الحساب'!$F$2:$I$2,0))</f>
        <v/>
      </c>
      <c r="E17" s="13">
        <f>D17-C17</f>
        <v/>
      </c>
      <c r="F17" s="14">
        <f>IF(C17=0,"",D17/C17)</f>
        <v/>
      </c>
      <c r="G17" s="15">
        <f>IF(CAP=0,"",C17/CAP)</f>
        <v/>
      </c>
      <c r="H17" s="16">
        <f>IF(C17=0,"لا ينطبق",IF(D17&gt;=C17,"مكتمل",IF(D17=0,"لم يُدخل","عجز")))</f>
        <v/>
      </c>
      <c r="I17" s="17" t="inlineStr">
        <is>
          <t>قبالة</t>
        </is>
      </c>
    </row>
    <row r="18">
      <c r="B18" s="11" t="inlineStr">
        <is>
          <t>أخصائي غير طبيب (بدون تمريض وقبالة)</t>
        </is>
      </c>
      <c r="C18" s="12">
        <f>INDEX('مصفوفة الحساب'!$B$4:$E$11,MATCH($I18,'مصفوفة الحساب'!$A$4:$A$11,0),MATCH(HTYPE,'مصفوفة الحساب'!$B$2:$E$2,0))</f>
        <v/>
      </c>
      <c r="D18" s="12">
        <f>INDEX('مصفوفة الحساب'!$F$4:$I$11,MATCH($I18,'مصفوفة الحساب'!$A$4:$A$11,0),MATCH(HTYPE,'مصفوفة الحساب'!$F$2:$I$2,0))</f>
        <v/>
      </c>
      <c r="E18" s="13">
        <f>D18-C18</f>
        <v/>
      </c>
      <c r="F18" s="14">
        <f>IF(C18=0,"",D18/C18)</f>
        <v/>
      </c>
      <c r="G18" s="15">
        <f>IF(CAP=0,"",C18/CAP)</f>
        <v/>
      </c>
      <c r="H18" s="16">
        <f>IF(C18=0,"لا ينطبق",IF(D18&gt;=C18,"مكتمل",IF(D18=0,"لم يُدخل","عجز")))</f>
        <v/>
      </c>
      <c r="I18" s="17" t="inlineStr">
        <is>
          <t>أخصائي غير طبيب</t>
        </is>
      </c>
    </row>
    <row r="19">
      <c r="B19" s="11" t="inlineStr">
        <is>
          <t>الفنيون (بدون تمريض وقبالة)</t>
        </is>
      </c>
      <c r="C19" s="12">
        <f>INDEX('مصفوفة الحساب'!$B$4:$E$11,MATCH($I19,'مصفوفة الحساب'!$A$4:$A$11,0),MATCH(HTYPE,'مصفوفة الحساب'!$B$2:$E$2,0))</f>
        <v/>
      </c>
      <c r="D19" s="12">
        <f>INDEX('مصفوفة الحساب'!$F$4:$I$11,MATCH($I19,'مصفوفة الحساب'!$A$4:$A$11,0),MATCH(HTYPE,'مصفوفة الحساب'!$F$2:$I$2,0))</f>
        <v/>
      </c>
      <c r="E19" s="13">
        <f>D19-C19</f>
        <v/>
      </c>
      <c r="F19" s="14">
        <f>IF(C19=0,"",D19/C19)</f>
        <v/>
      </c>
      <c r="G19" s="15">
        <f>IF(CAP=0,"",C19/CAP)</f>
        <v/>
      </c>
      <c r="H19" s="16">
        <f>IF(C19=0,"لا ينطبق",IF(D19&gt;=C19,"مكتمل",IF(D19=0,"لم يُدخل","عجز")))</f>
        <v/>
      </c>
      <c r="I19" s="17" t="inlineStr">
        <is>
          <t>فني</t>
        </is>
      </c>
    </row>
    <row r="20">
      <c r="B20" s="11" t="inlineStr">
        <is>
          <t>الصيادلة</t>
        </is>
      </c>
      <c r="C20" s="12">
        <f>INDEX('مصفوفة الحساب'!$B$4:$E$11,MATCH($I20,'مصفوفة الحساب'!$A$4:$A$11,0),MATCH(HTYPE,'مصفوفة الحساب'!$B$2:$E$2,0))</f>
        <v/>
      </c>
      <c r="D20" s="12">
        <f>INDEX('مصفوفة الحساب'!$F$4:$I$11,MATCH($I20,'مصفوفة الحساب'!$A$4:$A$11,0),MATCH(HTYPE,'مصفوفة الحساب'!$F$2:$I$2,0))</f>
        <v/>
      </c>
      <c r="E20" s="13">
        <f>D20-C20</f>
        <v/>
      </c>
      <c r="F20" s="14">
        <f>IF(C20=0,"",D20/C20)</f>
        <v/>
      </c>
      <c r="G20" s="15">
        <f>IF(CAP=0,"",C20/CAP)</f>
        <v/>
      </c>
      <c r="H20" s="16">
        <f>IF(C20=0,"لا ينطبق",IF(D20&gt;=C20,"مكتمل",IF(D20=0,"لم يُدخل","عجز")))</f>
        <v/>
      </c>
      <c r="I20" s="17" t="inlineStr">
        <is>
          <t>صيدلي</t>
        </is>
      </c>
    </row>
    <row r="21">
      <c r="B21" s="11" t="inlineStr">
        <is>
          <t>المساعد الصحي</t>
        </is>
      </c>
      <c r="C21" s="12">
        <f>INDEX('مصفوفة الحساب'!$B$4:$E$11,MATCH($I21,'مصفوفة الحساب'!$A$4:$A$11,0),MATCH(HTYPE,'مصفوفة الحساب'!$B$2:$E$2,0))</f>
        <v/>
      </c>
      <c r="D21" s="12">
        <f>INDEX('مصفوفة الحساب'!$F$4:$I$11,MATCH($I21,'مصفوفة الحساب'!$A$4:$A$11,0),MATCH(HTYPE,'مصفوفة الحساب'!$F$2:$I$2,0))</f>
        <v/>
      </c>
      <c r="E21" s="13">
        <f>D21-C21</f>
        <v/>
      </c>
      <c r="F21" s="14">
        <f>IF(C21=0,"",D21/C21)</f>
        <v/>
      </c>
      <c r="G21" s="15">
        <f>IF(CAP=0,"",C21/CAP)</f>
        <v/>
      </c>
      <c r="H21" s="16">
        <f>IF(C21=0,"لا ينطبق",IF(D21&gt;=C21,"مكتمل",IF(D21=0,"لم يُدخل","عجز")))</f>
        <v/>
      </c>
      <c r="I21" s="17" t="inlineStr">
        <is>
          <t>مساعد صحي</t>
        </is>
      </c>
    </row>
    <row r="22">
      <c r="B22" s="11" t="inlineStr">
        <is>
          <t>الإداريون</t>
        </is>
      </c>
      <c r="C22" s="12">
        <f>INDEX('مصفوفة الحساب'!$B$4:$E$11,MATCH($I22,'مصفوفة الحساب'!$A$4:$A$11,0),MATCH(HTYPE,'مصفوفة الحساب'!$B$2:$E$2,0))</f>
        <v/>
      </c>
      <c r="D22" s="12">
        <f>INDEX('مصفوفة الحساب'!$F$4:$I$11,MATCH($I22,'مصفوفة الحساب'!$A$4:$A$11,0),MATCH(HTYPE,'مصفوفة الحساب'!$F$2:$I$2,0))</f>
        <v/>
      </c>
      <c r="E22" s="13">
        <f>D22-C22</f>
        <v/>
      </c>
      <c r="F22" s="14">
        <f>IF(C22=0,"",D22/C22)</f>
        <v/>
      </c>
      <c r="G22" s="15">
        <f>IF(CAP=0,"",C22/CAP)</f>
        <v/>
      </c>
      <c r="H22" s="16">
        <f>IF(C22=0,"لا ينطبق",IF(D22&gt;=C22,"مكتمل",IF(D22=0,"لم يُدخل","عجز")))</f>
        <v/>
      </c>
      <c r="I22" s="17" t="inlineStr">
        <is>
          <t>إداري</t>
        </is>
      </c>
    </row>
    <row r="23">
      <c r="B23" s="18" t="inlineStr">
        <is>
          <t>إجمالي القوى العاملة</t>
        </is>
      </c>
      <c r="C23" s="19">
        <f>SUM(C15:C22)</f>
        <v/>
      </c>
      <c r="D23" s="19">
        <f>SUM(D15:D22)</f>
        <v/>
      </c>
      <c r="E23" s="20">
        <f>D23-C23</f>
        <v/>
      </c>
      <c r="F23" s="21">
        <f>IF(C23=0,"",D23/C23)</f>
        <v/>
      </c>
      <c r="G23" s="22">
        <f>IF(CAP=0,"",C23/CAP)</f>
        <v/>
      </c>
      <c r="H23" s="23" t="n"/>
    </row>
    <row r="25" ht="28" customHeight="1">
      <c r="B25" s="24" t="inlineStr">
        <is>
          <t>الاحتياج يُحتسب آلياً من أوراق المعايير حسب السعة السريرية المدخلة · «الموجود فعلياً» يُجمَّع من الخلايا الصفراء التي تعبّئها في أوراق المعايير · المعدل لكل سرير = الاحتياج ÷ السعة.</t>
        </is>
      </c>
    </row>
  </sheetData>
  <mergeCells count="12">
    <mergeCell ref="C6:D6"/>
    <mergeCell ref="C7:D7"/>
    <mergeCell ref="C10:D10"/>
    <mergeCell ref="B13:H13"/>
    <mergeCell ref="B4:H4"/>
    <mergeCell ref="A2:H2"/>
    <mergeCell ref="C11:D11"/>
    <mergeCell ref="C5:D5"/>
    <mergeCell ref="C9:D9"/>
    <mergeCell ref="B25:H25"/>
    <mergeCell ref="A1:H1"/>
    <mergeCell ref="C8:D8"/>
  </mergeCells>
  <conditionalFormatting sqref="H15:H22">
    <cfRule type="expression" priority="1" dxfId="0">
      <formula>OR(H15="عجز",H15="لم يُدخل")</formula>
    </cfRule>
    <cfRule type="expression" priority="2" dxfId="1">
      <formula>H15="مكتمل"</formula>
    </cfRule>
  </conditionalFormatting>
  <conditionalFormatting sqref="E15:E23">
    <cfRule type="cellIs" priority="3" operator="lessThan" dxfId="2">
      <formula>0</formula>
    </cfRule>
  </conditionalFormatting>
  <dataValidations count="3">
    <dataValidation sqref="C7" showDropDown="0" showInputMessage="0" showErrorMessage="0" allowBlank="0" type="list">
      <formula1>"مستشفى عام,مستشفى ولادة وأطفال,مجمع إرادة والصحة النفسية,مستشفى رعاية مديدة"</formula1>
    </dataValidation>
    <dataValidation sqref="C9" showDropDown="0" showInputMessage="0" showErrorMessage="0" allowBlank="0" type="list">
      <formula1>"تقريب لأعلى,تقريب لأقرب صحيح"</formula1>
    </dataValidation>
    <dataValidation sqref="C10" showDropDown="0" showInputMessage="0" showErrorMessage="0" allowBlank="0" type="list">
      <formula1>"نعم,لا"</formula1>
    </dataValidation>
  </dataValidations>
  <pageMargins left="0.75" right="0.75" top="1" bottom="1" header="0.5" footer="0.5"/>
</worksheet>
</file>

<file path=xl/worksheets/sheet3.xml><?xml version="1.0" encoding="utf-8"?>
<worksheet xmlns="http://schemas.openxmlformats.org/spreadsheetml/2006/main">
  <sheetPr>
    <tabColor rgb="001F6F6B"/>
    <outlinePr summaryBelow="1" summaryRight="1"/>
    <pageSetUpPr/>
  </sheetPr>
  <dimension ref="A1:Q159"/>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2" customWidth="1" min="12" max="12"/>
    <col width="13" customWidth="1" min="13" max="13"/>
    <col width="10" customWidth="1" min="14" max="14"/>
    <col width="11" customWidth="1" min="15" max="15"/>
    <col width="11" customWidth="1" min="16" max="16"/>
    <col width="42" customWidth="1" min="17" max="17"/>
  </cols>
  <sheetData>
    <row r="1" ht="30" customHeight="1">
      <c r="A1" s="1" t="inlineStr">
        <is>
          <t>عام - الأطباء</t>
        </is>
      </c>
    </row>
    <row r="2" ht="20" customHeight="1">
      <c r="A2" s="2" t="inlineStr">
        <is>
          <t>الملحق (1) — تفاصيل المعيار المحدث لفئة الأطباء (صفحات 22-25)</t>
        </is>
      </c>
    </row>
    <row r="3">
      <c r="C3" s="25" t="inlineStr">
        <is>
          <t>معاملا الاستيفاء ◄</t>
        </is>
      </c>
      <c r="D3" s="26">
        <f>IFERROR(MATCH(CAP,$D$4:$J$4,1),1)</f>
        <v/>
      </c>
      <c r="E3" s="27">
        <f>IF(OR(CAP&lt;=$D$4,CAP&gt;=$J$4),0,(CAP-INDEX($D$4:$J$4,$D$3))/(INDEX($D$4:$J$4,$D$3+1)-INDEX($D$4:$J$4,$D$3)))</f>
        <v/>
      </c>
    </row>
    <row r="4" ht="42" customHeight="1">
      <c r="A4" s="28" t="inlineStr">
        <is>
          <t>م</t>
        </is>
      </c>
      <c r="B4" s="28" t="inlineStr">
        <is>
          <t>الفئة</t>
        </is>
      </c>
      <c r="C4" s="28" t="inlineStr">
        <is>
          <t>المسمى الوظيفي</t>
        </is>
      </c>
      <c r="D4" s="29" t="n">
        <v>50</v>
      </c>
      <c r="E4" s="29" t="n">
        <v>100</v>
      </c>
      <c r="F4" s="29" t="n">
        <v>150</v>
      </c>
      <c r="G4" s="29" t="n">
        <v>200</v>
      </c>
      <c r="H4" s="29" t="n">
        <v>300</v>
      </c>
      <c r="I4" s="29" t="n">
        <v>400</v>
      </c>
      <c r="J4" s="29" t="n">
        <v>500</v>
      </c>
      <c r="K4" s="28" t="inlineStr">
        <is>
          <t>الاحتياج للسعة المدخلة</t>
        </is>
      </c>
      <c r="L4" s="28" t="inlineStr">
        <is>
          <t>الموجود فعلياً</t>
        </is>
      </c>
      <c r="M4" s="28" t="inlineStr">
        <is>
          <t>الفجوة (+فائض / -عجز)</t>
        </is>
      </c>
      <c r="N4" s="28" t="inlineStr">
        <is>
          <t>نسبة التغطية</t>
        </is>
      </c>
      <c r="O4" s="28" t="inlineStr">
        <is>
          <t>الحالة</t>
        </is>
      </c>
      <c r="P4" s="28" t="inlineStr">
        <is>
          <t>القيمة قبل التقريب</t>
        </is>
      </c>
      <c r="Q4" s="28" t="inlineStr">
        <is>
          <t>ملاحظات</t>
        </is>
      </c>
    </row>
    <row r="5">
      <c r="A5" s="30" t="n">
        <v>1</v>
      </c>
      <c r="B5" s="31" t="inlineStr">
        <is>
          <t>طبيب</t>
        </is>
      </c>
      <c r="C5" s="5" t="inlineStr">
        <is>
          <t>استشاري باطنة</t>
        </is>
      </c>
      <c r="D5" s="32" t="n">
        <v>2</v>
      </c>
      <c r="E5" s="32" t="n">
        <v>3</v>
      </c>
      <c r="F5" s="32" t="n">
        <v>3</v>
      </c>
      <c r="G5" s="32" t="n">
        <v>3</v>
      </c>
      <c r="H5" s="32" t="n">
        <v>4</v>
      </c>
      <c r="I5" s="32" t="n">
        <v>4</v>
      </c>
      <c r="J5" s="32" t="n">
        <v>8</v>
      </c>
      <c r="K5" s="33">
        <f>IF(RMODE="تقريب لأعلى",ROUNDUP(P5,0),ROUND(P5,0))</f>
        <v/>
      </c>
      <c r="L5" s="34" t="n"/>
      <c r="M5" s="35">
        <f>L5-K5</f>
        <v/>
      </c>
      <c r="N5" s="36">
        <f>IF(K5=0,"",L5/K5)</f>
        <v/>
      </c>
      <c r="O5" s="37">
        <f>IF(K5=0,"لا ينطبق",IF(L5&gt;=K5,"مكتمل",IF(L5=0,"لا يوجد","عجز")))</f>
        <v/>
      </c>
      <c r="P5" s="38">
        <f>IF(CAP&lt;=$D$4,D5*CAP/$D$4,IF(CAP&gt;=$J$4,J5*CAP/$J$4,INDEX($D5:$J5,$D$3)+$E$3*(INDEX($D5:$J5,$D$3+1)-INDEX($D5:$J5,$D$3))))</f>
        <v/>
      </c>
      <c r="Q5" s="39" t="inlineStr"/>
    </row>
    <row r="6">
      <c r="A6" s="30" t="n">
        <v>2</v>
      </c>
      <c r="B6" s="31" t="inlineStr">
        <is>
          <t>طبيب</t>
        </is>
      </c>
      <c r="C6" s="5" t="inlineStr">
        <is>
          <t>أخصائي باطنة</t>
        </is>
      </c>
      <c r="D6" s="32" t="n">
        <v>3</v>
      </c>
      <c r="E6" s="32" t="n">
        <v>4</v>
      </c>
      <c r="F6" s="32" t="n">
        <v>4</v>
      </c>
      <c r="G6" s="32" t="n">
        <v>6</v>
      </c>
      <c r="H6" s="32" t="n">
        <v>8</v>
      </c>
      <c r="I6" s="32" t="n">
        <v>8</v>
      </c>
      <c r="J6" s="32" t="n">
        <v>10</v>
      </c>
      <c r="K6" s="33">
        <f>IF(RMODE="تقريب لأعلى",ROUNDUP(P6,0),ROUND(P6,0))</f>
        <v/>
      </c>
      <c r="L6" s="34" t="n"/>
      <c r="M6" s="35">
        <f>L6-K6</f>
        <v/>
      </c>
      <c r="N6" s="36">
        <f>IF(K6=0,"",L6/K6)</f>
        <v/>
      </c>
      <c r="O6" s="37">
        <f>IF(K6=0,"لا ينطبق",IF(L6&gt;=K6,"مكتمل",IF(L6=0,"لا يوجد","عجز")))</f>
        <v/>
      </c>
      <c r="P6" s="38">
        <f>IF(CAP&lt;=$D$4,D6*CAP/$D$4,IF(CAP&gt;=$J$4,J6*CAP/$J$4,INDEX($D6:$J6,$D$3)+$E$3*(INDEX($D6:$J6,$D$3+1)-INDEX($D6:$J6,$D$3))))</f>
        <v/>
      </c>
      <c r="Q6" s="39" t="inlineStr"/>
    </row>
    <row r="7">
      <c r="A7" s="30" t="n">
        <v>3</v>
      </c>
      <c r="B7" s="31" t="inlineStr">
        <is>
          <t>طبيب</t>
        </is>
      </c>
      <c r="C7" s="5" t="inlineStr">
        <is>
          <t>مقيم باطنة</t>
        </is>
      </c>
      <c r="D7" s="32" t="n">
        <v>4</v>
      </c>
      <c r="E7" s="32" t="n">
        <v>3</v>
      </c>
      <c r="F7" s="32" t="n">
        <v>4</v>
      </c>
      <c r="G7" s="32" t="n">
        <v>5</v>
      </c>
      <c r="H7" s="32" t="n">
        <v>8</v>
      </c>
      <c r="I7" s="32" t="n">
        <v>10</v>
      </c>
      <c r="J7" s="32" t="n">
        <v>12</v>
      </c>
      <c r="K7" s="33">
        <f>IF(RMODE="تقريب لأعلى",ROUNDUP(P7,0),ROUND(P7,0))</f>
        <v/>
      </c>
      <c r="L7" s="34" t="n"/>
      <c r="M7" s="35">
        <f>L7-K7</f>
        <v/>
      </c>
      <c r="N7" s="36">
        <f>IF(K7=0,"",L7/K7)</f>
        <v/>
      </c>
      <c r="O7" s="37">
        <f>IF(K7=0,"لا ينطبق",IF(L7&gt;=K7,"مكتمل",IF(L7=0,"لا يوجد","عجز")))</f>
        <v/>
      </c>
      <c r="P7" s="38">
        <f>IF(CAP&lt;=$D$4,D7*CAP/$D$4,IF(CAP&gt;=$J$4,J7*CAP/$J$4,INDEX($D7:$J7,$D$3)+$E$3*(INDEX($D7:$J7,$D$3+1)-INDEX($D7:$J7,$D$3))))</f>
        <v/>
      </c>
      <c r="Q7" s="39" t="inlineStr"/>
    </row>
    <row r="8">
      <c r="A8" s="30" t="n">
        <v>4</v>
      </c>
      <c r="B8" s="31" t="inlineStr">
        <is>
          <t>طبيب</t>
        </is>
      </c>
      <c r="C8" s="5" t="inlineStr">
        <is>
          <t>مقيم رعاية منزلية</t>
        </is>
      </c>
      <c r="D8" s="32" t="n">
        <v>5</v>
      </c>
      <c r="E8" s="32" t="n">
        <v>10</v>
      </c>
      <c r="F8" s="32" t="n">
        <v>15</v>
      </c>
      <c r="G8" s="32" t="n">
        <v>20</v>
      </c>
      <c r="H8" s="32" t="n">
        <v>30</v>
      </c>
      <c r="I8" s="32" t="n">
        <v>40</v>
      </c>
      <c r="J8" s="32" t="n">
        <v>50</v>
      </c>
      <c r="K8" s="33">
        <f>IF(RMODE="تقريب لأعلى",ROUNDUP(P8,0),ROUND(P8,0))</f>
        <v/>
      </c>
      <c r="L8" s="34" t="n"/>
      <c r="M8" s="35">
        <f>L8-K8</f>
        <v/>
      </c>
      <c r="N8" s="36">
        <f>IF(K8=0,"",L8/K8)</f>
        <v/>
      </c>
      <c r="O8" s="37">
        <f>IF(K8=0,"لا ينطبق",IF(L8&gt;=K8,"مكتمل",IF(L8=0,"لا يوجد","عجز")))</f>
        <v/>
      </c>
      <c r="P8" s="38">
        <f>IF(CAP&lt;=$D$4,D8*CAP/$D$4,IF(CAP&gt;=$J$4,J8*CAP/$J$4,INDEX($D8:$J8,$D$3)+$E$3*(INDEX($D8:$J8,$D$3+1)-INDEX($D8:$J8,$D$3))))</f>
        <v/>
      </c>
      <c r="Q8" s="39" t="inlineStr"/>
    </row>
    <row r="9">
      <c r="A9" s="30" t="n">
        <v>5</v>
      </c>
      <c r="B9" s="31" t="inlineStr">
        <is>
          <t>طبيب</t>
        </is>
      </c>
      <c r="C9" s="5" t="inlineStr">
        <is>
          <t>استشاري قلب</t>
        </is>
      </c>
      <c r="D9" s="32" t="n">
        <v>0</v>
      </c>
      <c r="E9" s="32" t="n">
        <v>1</v>
      </c>
      <c r="F9" s="32" t="n">
        <v>1</v>
      </c>
      <c r="G9" s="32" t="n">
        <v>2</v>
      </c>
      <c r="H9" s="32" t="n">
        <v>3</v>
      </c>
      <c r="I9" s="32" t="n">
        <v>3</v>
      </c>
      <c r="J9" s="32" t="n">
        <v>4</v>
      </c>
      <c r="K9" s="33">
        <f>IF(RMODE="تقريب لأعلى",ROUNDUP(P9,0),ROUND(P9,0))</f>
        <v/>
      </c>
      <c r="L9" s="34" t="n"/>
      <c r="M9" s="35">
        <f>L9-K9</f>
        <v/>
      </c>
      <c r="N9" s="36">
        <f>IF(K9=0,"",L9/K9)</f>
        <v/>
      </c>
      <c r="O9" s="37">
        <f>IF(K9=0,"لا ينطبق",IF(L9&gt;=K9,"مكتمل",IF(L9=0,"لا يوجد","عجز")))</f>
        <v/>
      </c>
      <c r="P9" s="38">
        <f>IF(CAP&lt;=$D$4,D9*CAP/$D$4,IF(CAP&gt;=$J$4,J9*CAP/$J$4,INDEX($D9:$J9,$D$3)+$E$3*(INDEX($D9:$J9,$D$3+1)-INDEX($D9:$J9,$D$3))))</f>
        <v/>
      </c>
      <c r="Q9" s="39" t="inlineStr"/>
    </row>
    <row r="10">
      <c r="A10" s="30" t="n">
        <v>6</v>
      </c>
      <c r="B10" s="31" t="inlineStr">
        <is>
          <t>طبيب</t>
        </is>
      </c>
      <c r="C10" s="5" t="inlineStr">
        <is>
          <t>أخصائي قلب</t>
        </is>
      </c>
      <c r="D10" s="32" t="n">
        <v>0</v>
      </c>
      <c r="E10" s="32" t="n">
        <v>1</v>
      </c>
      <c r="F10" s="32" t="n">
        <v>2</v>
      </c>
      <c r="G10" s="32" t="n">
        <v>2</v>
      </c>
      <c r="H10" s="32" t="n">
        <v>3</v>
      </c>
      <c r="I10" s="32" t="n">
        <v>3</v>
      </c>
      <c r="J10" s="32" t="n">
        <v>3</v>
      </c>
      <c r="K10" s="33">
        <f>IF(RMODE="تقريب لأعلى",ROUNDUP(P10,0),ROUND(P10,0))</f>
        <v/>
      </c>
      <c r="L10" s="34" t="n"/>
      <c r="M10" s="35">
        <f>L10-K10</f>
        <v/>
      </c>
      <c r="N10" s="36">
        <f>IF(K10=0,"",L10/K10)</f>
        <v/>
      </c>
      <c r="O10" s="37">
        <f>IF(K10=0,"لا ينطبق",IF(L10&gt;=K10,"مكتمل",IF(L10=0,"لا يوجد","عجز")))</f>
        <v/>
      </c>
      <c r="P10" s="38">
        <f>IF(CAP&lt;=$D$4,D10*CAP/$D$4,IF(CAP&gt;=$J$4,J10*CAP/$J$4,INDEX($D10:$J10,$D$3)+$E$3*(INDEX($D10:$J10,$D$3+1)-INDEX($D10:$J10,$D$3))))</f>
        <v/>
      </c>
      <c r="Q10" s="39" t="inlineStr"/>
    </row>
    <row r="11">
      <c r="A11" s="30" t="n">
        <v>7</v>
      </c>
      <c r="B11" s="31" t="inlineStr">
        <is>
          <t>طبيب</t>
        </is>
      </c>
      <c r="C11" s="5" t="inlineStr">
        <is>
          <t>مقيم قلب</t>
        </is>
      </c>
      <c r="D11" s="32" t="n">
        <v>0</v>
      </c>
      <c r="E11" s="32" t="n">
        <v>0</v>
      </c>
      <c r="F11" s="32" t="n">
        <v>0</v>
      </c>
      <c r="G11" s="32" t="n">
        <v>0</v>
      </c>
      <c r="H11" s="32" t="n">
        <v>2</v>
      </c>
      <c r="I11" s="32" t="n">
        <v>3</v>
      </c>
      <c r="J11" s="32" t="n">
        <v>4</v>
      </c>
      <c r="K11" s="33">
        <f>IF(RMODE="تقريب لأعلى",ROUNDUP(P11,0),ROUND(P11,0))</f>
        <v/>
      </c>
      <c r="L11" s="34" t="n"/>
      <c r="M11" s="35">
        <f>L11-K11</f>
        <v/>
      </c>
      <c r="N11" s="36">
        <f>IF(K11=0,"",L11/K11)</f>
        <v/>
      </c>
      <c r="O11" s="37">
        <f>IF(K11=0,"لا ينطبق",IF(L11&gt;=K11,"مكتمل",IF(L11=0,"لا يوجد","عجز")))</f>
        <v/>
      </c>
      <c r="P11" s="38">
        <f>IF(CAP&lt;=$D$4,D11*CAP/$D$4,IF(CAP&gt;=$J$4,J11*CAP/$J$4,INDEX($D11:$J11,$D$3)+$E$3*(INDEX($D11:$J11,$D$3+1)-INDEX($D11:$J11,$D$3))))</f>
        <v/>
      </c>
      <c r="Q11" s="39" t="inlineStr"/>
    </row>
    <row r="12">
      <c r="A12" s="30" t="n">
        <v>8</v>
      </c>
      <c r="B12" s="31" t="inlineStr">
        <is>
          <t>طبيب</t>
        </is>
      </c>
      <c r="C12" s="5" t="inlineStr">
        <is>
          <t>استشاري جهاز هضمي وكبد</t>
        </is>
      </c>
      <c r="D12" s="32" t="n">
        <v>0</v>
      </c>
      <c r="E12" s="32" t="n">
        <v>1</v>
      </c>
      <c r="F12" s="32" t="n">
        <v>1</v>
      </c>
      <c r="G12" s="32" t="n">
        <v>1</v>
      </c>
      <c r="H12" s="32" t="n">
        <v>2</v>
      </c>
      <c r="I12" s="32" t="n">
        <v>3</v>
      </c>
      <c r="J12" s="32" t="n">
        <v>4</v>
      </c>
      <c r="K12" s="33">
        <f>IF(RMODE="تقريب لأعلى",ROUNDUP(P12,0),ROUND(P12,0))</f>
        <v/>
      </c>
      <c r="L12" s="34" t="n"/>
      <c r="M12" s="35">
        <f>L12-K12</f>
        <v/>
      </c>
      <c r="N12" s="36">
        <f>IF(K12=0,"",L12/K12)</f>
        <v/>
      </c>
      <c r="O12" s="37">
        <f>IF(K12=0,"لا ينطبق",IF(L12&gt;=K12,"مكتمل",IF(L12=0,"لا يوجد","عجز")))</f>
        <v/>
      </c>
      <c r="P12" s="38">
        <f>IF(CAP&lt;=$D$4,D12*CAP/$D$4,IF(CAP&gt;=$J$4,J12*CAP/$J$4,INDEX($D12:$J12,$D$3)+$E$3*(INDEX($D12:$J12,$D$3+1)-INDEX($D12:$J12,$D$3))))</f>
        <v/>
      </c>
      <c r="Q12" s="39" t="inlineStr"/>
    </row>
    <row r="13">
      <c r="A13" s="30" t="n">
        <v>9</v>
      </c>
      <c r="B13" s="31" t="inlineStr">
        <is>
          <t>طبيب</t>
        </is>
      </c>
      <c r="C13" s="5" t="inlineStr">
        <is>
          <t>أخصائي جهاز هضمي وكبد</t>
        </is>
      </c>
      <c r="D13" s="32" t="n">
        <v>0</v>
      </c>
      <c r="E13" s="32" t="n">
        <v>1</v>
      </c>
      <c r="F13" s="32" t="n">
        <v>1</v>
      </c>
      <c r="G13" s="32" t="n">
        <v>2</v>
      </c>
      <c r="H13" s="32" t="n">
        <v>3</v>
      </c>
      <c r="I13" s="32" t="n">
        <v>3</v>
      </c>
      <c r="J13" s="32" t="n">
        <v>3</v>
      </c>
      <c r="K13" s="33">
        <f>IF(RMODE="تقريب لأعلى",ROUNDUP(P13,0),ROUND(P13,0))</f>
        <v/>
      </c>
      <c r="L13" s="34" t="n"/>
      <c r="M13" s="35">
        <f>L13-K13</f>
        <v/>
      </c>
      <c r="N13" s="36">
        <f>IF(K13=0,"",L13/K13)</f>
        <v/>
      </c>
      <c r="O13" s="37">
        <f>IF(K13=0,"لا ينطبق",IF(L13&gt;=K13,"مكتمل",IF(L13=0,"لا يوجد","عجز")))</f>
        <v/>
      </c>
      <c r="P13" s="38">
        <f>IF(CAP&lt;=$D$4,D13*CAP/$D$4,IF(CAP&gt;=$J$4,J13*CAP/$J$4,INDEX($D13:$J13,$D$3)+$E$3*(INDEX($D13:$J13,$D$3+1)-INDEX($D13:$J13,$D$3))))</f>
        <v/>
      </c>
      <c r="Q13" s="39" t="inlineStr"/>
    </row>
    <row r="14">
      <c r="A14" s="30" t="n">
        <v>10</v>
      </c>
      <c r="B14" s="31" t="inlineStr">
        <is>
          <t>طبيب</t>
        </is>
      </c>
      <c r="C14" s="5" t="inlineStr">
        <is>
          <t>مقيم جهاز هضمي وكبد</t>
        </is>
      </c>
      <c r="D14" s="32" t="n">
        <v>0</v>
      </c>
      <c r="E14" s="32" t="n">
        <v>1</v>
      </c>
      <c r="F14" s="32" t="n">
        <v>1</v>
      </c>
      <c r="G14" s="32" t="n">
        <v>1</v>
      </c>
      <c r="H14" s="32" t="n">
        <v>2</v>
      </c>
      <c r="I14" s="32" t="n">
        <v>2</v>
      </c>
      <c r="J14" s="32" t="n">
        <v>3</v>
      </c>
      <c r="K14" s="33">
        <f>IF(RMODE="تقريب لأعلى",ROUNDUP(P14,0),ROUND(P14,0))</f>
        <v/>
      </c>
      <c r="L14" s="34" t="n"/>
      <c r="M14" s="35">
        <f>L14-K14</f>
        <v/>
      </c>
      <c r="N14" s="36">
        <f>IF(K14=0,"",L14/K14)</f>
        <v/>
      </c>
      <c r="O14" s="37">
        <f>IF(K14=0,"لا ينطبق",IF(L14&gt;=K14,"مكتمل",IF(L14=0,"لا يوجد","عجز")))</f>
        <v/>
      </c>
      <c r="P14" s="38">
        <f>IF(CAP&lt;=$D$4,D14*CAP/$D$4,IF(CAP&gt;=$J$4,J14*CAP/$J$4,INDEX($D14:$J14,$D$3)+$E$3*(INDEX($D14:$J14,$D$3+1)-INDEX($D14:$J14,$D$3))))</f>
        <v/>
      </c>
      <c r="Q14" s="39" t="inlineStr"/>
    </row>
    <row r="15">
      <c r="A15" s="30" t="n">
        <v>11</v>
      </c>
      <c r="B15" s="31" t="inlineStr">
        <is>
          <t>طبيب</t>
        </is>
      </c>
      <c r="C15" s="5" t="inlineStr">
        <is>
          <t>استشاري أعصاب</t>
        </is>
      </c>
      <c r="D15" s="32" t="n">
        <v>0</v>
      </c>
      <c r="E15" s="32" t="n">
        <v>0</v>
      </c>
      <c r="F15" s="32" t="n">
        <v>1</v>
      </c>
      <c r="G15" s="32" t="n">
        <v>2</v>
      </c>
      <c r="H15" s="32" t="n">
        <v>3</v>
      </c>
      <c r="I15" s="32" t="n">
        <v>4</v>
      </c>
      <c r="J15" s="32" t="n">
        <v>6</v>
      </c>
      <c r="K15" s="33">
        <f>IF(RMODE="تقريب لأعلى",ROUNDUP(P15,0),ROUND(P15,0))</f>
        <v/>
      </c>
      <c r="L15" s="34" t="n"/>
      <c r="M15" s="35">
        <f>L15-K15</f>
        <v/>
      </c>
      <c r="N15" s="36">
        <f>IF(K15=0,"",L15/K15)</f>
        <v/>
      </c>
      <c r="O15" s="37">
        <f>IF(K15=0,"لا ينطبق",IF(L15&gt;=K15,"مكتمل",IF(L15=0,"لا يوجد","عجز")))</f>
        <v/>
      </c>
      <c r="P15" s="38">
        <f>IF(CAP&lt;=$D$4,D15*CAP/$D$4,IF(CAP&gt;=$J$4,J15*CAP/$J$4,INDEX($D15:$J15,$D$3)+$E$3*(INDEX($D15:$J15,$D$3+1)-INDEX($D15:$J15,$D$3))))</f>
        <v/>
      </c>
      <c r="Q15" s="39" t="inlineStr"/>
    </row>
    <row r="16">
      <c r="A16" s="30" t="n">
        <v>12</v>
      </c>
      <c r="B16" s="31" t="inlineStr">
        <is>
          <t>طبيب</t>
        </is>
      </c>
      <c r="C16" s="5" t="inlineStr">
        <is>
          <t>أخصائي أعصاب</t>
        </is>
      </c>
      <c r="D16" s="32" t="n">
        <v>0</v>
      </c>
      <c r="E16" s="32" t="n">
        <v>0</v>
      </c>
      <c r="F16" s="32" t="n">
        <v>2</v>
      </c>
      <c r="G16" s="32" t="n">
        <v>2</v>
      </c>
      <c r="H16" s="32" t="n">
        <v>3</v>
      </c>
      <c r="I16" s="32" t="n">
        <v>4</v>
      </c>
      <c r="J16" s="32" t="n">
        <v>5</v>
      </c>
      <c r="K16" s="33">
        <f>IF(RMODE="تقريب لأعلى",ROUNDUP(P16,0),ROUND(P16,0))</f>
        <v/>
      </c>
      <c r="L16" s="34" t="n"/>
      <c r="M16" s="35">
        <f>L16-K16</f>
        <v/>
      </c>
      <c r="N16" s="36">
        <f>IF(K16=0,"",L16/K16)</f>
        <v/>
      </c>
      <c r="O16" s="37">
        <f>IF(K16=0,"لا ينطبق",IF(L16&gt;=K16,"مكتمل",IF(L16=0,"لا يوجد","عجز")))</f>
        <v/>
      </c>
      <c r="P16" s="38">
        <f>IF(CAP&lt;=$D$4,D16*CAP/$D$4,IF(CAP&gt;=$J$4,J16*CAP/$J$4,INDEX($D16:$J16,$D$3)+$E$3*(INDEX($D16:$J16,$D$3+1)-INDEX($D16:$J16,$D$3))))</f>
        <v/>
      </c>
      <c r="Q16" s="39" t="inlineStr"/>
    </row>
    <row r="17">
      <c r="A17" s="30" t="n">
        <v>13</v>
      </c>
      <c r="B17" s="31" t="inlineStr">
        <is>
          <t>طبيب</t>
        </is>
      </c>
      <c r="C17" s="5" t="inlineStr">
        <is>
          <t>مقيم أعصاب</t>
        </is>
      </c>
      <c r="D17" s="32" t="n">
        <v>0</v>
      </c>
      <c r="E17" s="32" t="n">
        <v>0</v>
      </c>
      <c r="F17" s="32" t="n">
        <v>0</v>
      </c>
      <c r="G17" s="32" t="n">
        <v>0</v>
      </c>
      <c r="H17" s="32" t="n">
        <v>2</v>
      </c>
      <c r="I17" s="32" t="n">
        <v>6</v>
      </c>
      <c r="J17" s="32" t="n">
        <v>6</v>
      </c>
      <c r="K17" s="33">
        <f>IF(RMODE="تقريب لأعلى",ROUNDUP(P17,0),ROUND(P17,0))</f>
        <v/>
      </c>
      <c r="L17" s="34" t="n"/>
      <c r="M17" s="35">
        <f>L17-K17</f>
        <v/>
      </c>
      <c r="N17" s="36">
        <f>IF(K17=0,"",L17/K17)</f>
        <v/>
      </c>
      <c r="O17" s="37">
        <f>IF(K17=0,"لا ينطبق",IF(L17&gt;=K17,"مكتمل",IF(L17=0,"لا يوجد","عجز")))</f>
        <v/>
      </c>
      <c r="P17" s="38">
        <f>IF(CAP&lt;=$D$4,D17*CAP/$D$4,IF(CAP&gt;=$J$4,J17*CAP/$J$4,INDEX($D17:$J17,$D$3)+$E$3*(INDEX($D17:$J17,$D$3+1)-INDEX($D17:$J17,$D$3))))</f>
        <v/>
      </c>
      <c r="Q17" s="39" t="inlineStr"/>
    </row>
    <row r="18">
      <c r="A18" s="30" t="n">
        <v>14</v>
      </c>
      <c r="B18" s="31" t="inlineStr">
        <is>
          <t>طبيب</t>
        </is>
      </c>
      <c r="C18" s="5" t="inlineStr">
        <is>
          <t>استشاري كلى</t>
        </is>
      </c>
      <c r="D18" s="32" t="n">
        <v>0</v>
      </c>
      <c r="E18" s="32" t="n">
        <v>0</v>
      </c>
      <c r="F18" s="32" t="n">
        <v>1</v>
      </c>
      <c r="G18" s="32" t="n">
        <v>2</v>
      </c>
      <c r="H18" s="32" t="n">
        <v>2</v>
      </c>
      <c r="I18" s="32" t="n">
        <v>3</v>
      </c>
      <c r="J18" s="32" t="n">
        <v>4</v>
      </c>
      <c r="K18" s="33">
        <f>IF(RMODE="تقريب لأعلى",ROUNDUP(P18,0),ROUND(P18,0))</f>
        <v/>
      </c>
      <c r="L18" s="34" t="n"/>
      <c r="M18" s="35">
        <f>L18-K18</f>
        <v/>
      </c>
      <c r="N18" s="36">
        <f>IF(K18=0,"",L18/K18)</f>
        <v/>
      </c>
      <c r="O18" s="37">
        <f>IF(K18=0,"لا ينطبق",IF(L18&gt;=K18,"مكتمل",IF(L18=0,"لا يوجد","عجز")))</f>
        <v/>
      </c>
      <c r="P18" s="38">
        <f>IF(CAP&lt;=$D$4,D18*CAP/$D$4,IF(CAP&gt;=$J$4,J18*CAP/$J$4,INDEX($D18:$J18,$D$3)+$E$3*(INDEX($D18:$J18,$D$3+1)-INDEX($D18:$J18,$D$3))))</f>
        <v/>
      </c>
      <c r="Q18" s="39" t="inlineStr"/>
    </row>
    <row r="19">
      <c r="A19" s="30" t="n">
        <v>15</v>
      </c>
      <c r="B19" s="31" t="inlineStr">
        <is>
          <t>طبيب</t>
        </is>
      </c>
      <c r="C19" s="5" t="inlineStr">
        <is>
          <t>أخصائي كلى</t>
        </is>
      </c>
      <c r="D19" s="32" t="n">
        <v>1</v>
      </c>
      <c r="E19" s="32" t="n">
        <v>1</v>
      </c>
      <c r="F19" s="32" t="n">
        <v>2</v>
      </c>
      <c r="G19" s="32" t="n">
        <v>2</v>
      </c>
      <c r="H19" s="32" t="n">
        <v>3</v>
      </c>
      <c r="I19" s="32" t="n">
        <v>4</v>
      </c>
      <c r="J19" s="32" t="n">
        <v>5</v>
      </c>
      <c r="K19" s="33">
        <f>IF(RMODE="تقريب لأعلى",ROUNDUP(P19,0),ROUND(P19,0))</f>
        <v/>
      </c>
      <c r="L19" s="34" t="n"/>
      <c r="M19" s="35">
        <f>L19-K19</f>
        <v/>
      </c>
      <c r="N19" s="36">
        <f>IF(K19=0,"",L19/K19)</f>
        <v/>
      </c>
      <c r="O19" s="37">
        <f>IF(K19=0,"لا ينطبق",IF(L19&gt;=K19,"مكتمل",IF(L19=0,"لا يوجد","عجز")))</f>
        <v/>
      </c>
      <c r="P19" s="38">
        <f>IF(CAP&lt;=$D$4,D19*CAP/$D$4,IF(CAP&gt;=$J$4,J19*CAP/$J$4,INDEX($D19:$J19,$D$3)+$E$3*(INDEX($D19:$J19,$D$3+1)-INDEX($D19:$J19,$D$3))))</f>
        <v/>
      </c>
      <c r="Q19" s="39" t="inlineStr"/>
    </row>
    <row r="20">
      <c r="A20" s="30" t="n">
        <v>16</v>
      </c>
      <c r="B20" s="31" t="inlineStr">
        <is>
          <t>طبيب</t>
        </is>
      </c>
      <c r="C20" s="5" t="inlineStr">
        <is>
          <t>مقيم كلى</t>
        </is>
      </c>
      <c r="D20" s="32" t="n">
        <v>2</v>
      </c>
      <c r="E20" s="32" t="n">
        <v>2</v>
      </c>
      <c r="F20" s="32" t="n">
        <v>2</v>
      </c>
      <c r="G20" s="32" t="n">
        <v>3</v>
      </c>
      <c r="H20" s="32" t="n">
        <v>4</v>
      </c>
      <c r="I20" s="32" t="n">
        <v>4</v>
      </c>
      <c r="J20" s="32" t="n">
        <v>5</v>
      </c>
      <c r="K20" s="33">
        <f>IF(RMODE="تقريب لأعلى",ROUNDUP(P20,0),ROUND(P20,0))</f>
        <v/>
      </c>
      <c r="L20" s="34" t="n"/>
      <c r="M20" s="35">
        <f>L20-K20</f>
        <v/>
      </c>
      <c r="N20" s="36">
        <f>IF(K20=0,"",L20/K20)</f>
        <v/>
      </c>
      <c r="O20" s="37">
        <f>IF(K20=0,"لا ينطبق",IF(L20&gt;=K20,"مكتمل",IF(L20=0,"لا يوجد","عجز")))</f>
        <v/>
      </c>
      <c r="P20" s="38">
        <f>IF(CAP&lt;=$D$4,D20*CAP/$D$4,IF(CAP&gt;=$J$4,J20*CAP/$J$4,INDEX($D20:$J20,$D$3)+$E$3*(INDEX($D20:$J20,$D$3+1)-INDEX($D20:$J20,$D$3))))</f>
        <v/>
      </c>
      <c r="Q20" s="39" t="inlineStr"/>
    </row>
    <row r="21">
      <c r="A21" s="30" t="n">
        <v>17</v>
      </c>
      <c r="B21" s="31" t="inlineStr">
        <is>
          <t>طبيب</t>
        </is>
      </c>
      <c r="C21" s="5" t="inlineStr">
        <is>
          <t>استشاري كلى أطفال</t>
        </is>
      </c>
      <c r="D21" s="32" t="n">
        <v>0</v>
      </c>
      <c r="E21" s="32" t="n">
        <v>0</v>
      </c>
      <c r="F21" s="32" t="n">
        <v>0</v>
      </c>
      <c r="G21" s="32" t="n">
        <v>1</v>
      </c>
      <c r="H21" s="32" t="n">
        <v>1</v>
      </c>
      <c r="I21" s="32" t="n">
        <v>2</v>
      </c>
      <c r="J21" s="32" t="n">
        <v>2</v>
      </c>
      <c r="K21" s="33">
        <f>IF(RMODE="تقريب لأعلى",ROUNDUP(P21,0),ROUND(P21,0))</f>
        <v/>
      </c>
      <c r="L21" s="34" t="n"/>
      <c r="M21" s="35">
        <f>L21-K21</f>
        <v/>
      </c>
      <c r="N21" s="36">
        <f>IF(K21=0,"",L21/K21)</f>
        <v/>
      </c>
      <c r="O21" s="37">
        <f>IF(K21=0,"لا ينطبق",IF(L21&gt;=K21,"مكتمل",IF(L21=0,"لا يوجد","عجز")))</f>
        <v/>
      </c>
      <c r="P21" s="38">
        <f>IF(CAP&lt;=$D$4,D21*CAP/$D$4,IF(CAP&gt;=$J$4,J21*CAP/$J$4,INDEX($D21:$J21,$D$3)+$E$3*(INDEX($D21:$J21,$D$3+1)-INDEX($D21:$J21,$D$3))))</f>
        <v/>
      </c>
      <c r="Q21" s="39" t="inlineStr"/>
    </row>
    <row r="22">
      <c r="A22" s="30" t="n">
        <v>18</v>
      </c>
      <c r="B22" s="31" t="inlineStr">
        <is>
          <t>طبيب</t>
        </is>
      </c>
      <c r="C22" s="5" t="inlineStr">
        <is>
          <t>استشاري سكري</t>
        </is>
      </c>
      <c r="D22" s="32" t="n">
        <v>0</v>
      </c>
      <c r="E22" s="32" t="n">
        <v>1</v>
      </c>
      <c r="F22" s="32" t="n">
        <v>1</v>
      </c>
      <c r="G22" s="32" t="n">
        <v>2</v>
      </c>
      <c r="H22" s="32" t="n">
        <v>2</v>
      </c>
      <c r="I22" s="32" t="n">
        <v>2</v>
      </c>
      <c r="J22" s="32" t="n">
        <v>2</v>
      </c>
      <c r="K22" s="33">
        <f>IF(RMODE="تقريب لأعلى",ROUNDUP(P22,0),ROUND(P22,0))</f>
        <v/>
      </c>
      <c r="L22" s="34" t="n"/>
      <c r="M22" s="35">
        <f>L22-K22</f>
        <v/>
      </c>
      <c r="N22" s="36">
        <f>IF(K22=0,"",L22/K22)</f>
        <v/>
      </c>
      <c r="O22" s="37">
        <f>IF(K22=0,"لا ينطبق",IF(L22&gt;=K22,"مكتمل",IF(L22=0,"لا يوجد","عجز")))</f>
        <v/>
      </c>
      <c r="P22" s="38">
        <f>IF(CAP&lt;=$D$4,D22*CAP/$D$4,IF(CAP&gt;=$J$4,J22*CAP/$J$4,INDEX($D22:$J22,$D$3)+$E$3*(INDEX($D22:$J22,$D$3+1)-INDEX($D22:$J22,$D$3))))</f>
        <v/>
      </c>
      <c r="Q22" s="39" t="inlineStr"/>
    </row>
    <row r="23">
      <c r="A23" s="30" t="n">
        <v>19</v>
      </c>
      <c r="B23" s="31" t="inlineStr">
        <is>
          <t>طبيب</t>
        </is>
      </c>
      <c r="C23" s="5" t="inlineStr">
        <is>
          <t>استشاري غدد صماء وسكري</t>
        </is>
      </c>
      <c r="D23" s="32" t="n">
        <v>0</v>
      </c>
      <c r="E23" s="32" t="n">
        <v>0</v>
      </c>
      <c r="F23" s="32" t="n">
        <v>1</v>
      </c>
      <c r="G23" s="32" t="n">
        <v>2</v>
      </c>
      <c r="H23" s="32" t="n">
        <v>2</v>
      </c>
      <c r="I23" s="32" t="n">
        <v>3</v>
      </c>
      <c r="J23" s="32" t="n">
        <v>4</v>
      </c>
      <c r="K23" s="33">
        <f>IF(RMODE="تقريب لأعلى",ROUNDUP(P23,0),ROUND(P23,0))</f>
        <v/>
      </c>
      <c r="L23" s="34" t="n"/>
      <c r="M23" s="35">
        <f>L23-K23</f>
        <v/>
      </c>
      <c r="N23" s="36">
        <f>IF(K23=0,"",L23/K23)</f>
        <v/>
      </c>
      <c r="O23" s="37">
        <f>IF(K23=0,"لا ينطبق",IF(L23&gt;=K23,"مكتمل",IF(L23=0,"لا يوجد","عجز")))</f>
        <v/>
      </c>
      <c r="P23" s="38">
        <f>IF(CAP&lt;=$D$4,D23*CAP/$D$4,IF(CAP&gt;=$J$4,J23*CAP/$J$4,INDEX($D23:$J23,$D$3)+$E$3*(INDEX($D23:$J23,$D$3+1)-INDEX($D23:$J23,$D$3))))</f>
        <v/>
      </c>
      <c r="Q23" s="39" t="inlineStr"/>
    </row>
    <row r="24">
      <c r="A24" s="30" t="n">
        <v>20</v>
      </c>
      <c r="B24" s="31" t="inlineStr">
        <is>
          <t>طبيب</t>
        </is>
      </c>
      <c r="C24" s="5" t="inlineStr">
        <is>
          <t>أخصائي غدد صماء وسكري</t>
        </is>
      </c>
      <c r="D24" s="32" t="n">
        <v>1</v>
      </c>
      <c r="E24" s="32" t="n">
        <v>2</v>
      </c>
      <c r="F24" s="32" t="n">
        <v>2</v>
      </c>
      <c r="G24" s="32" t="n">
        <v>2</v>
      </c>
      <c r="H24" s="32" t="n">
        <v>3</v>
      </c>
      <c r="I24" s="32" t="n">
        <v>3</v>
      </c>
      <c r="J24" s="32" t="n">
        <v>3</v>
      </c>
      <c r="K24" s="33">
        <f>IF(RMODE="تقريب لأعلى",ROUNDUP(P24,0),ROUND(P24,0))</f>
        <v/>
      </c>
      <c r="L24" s="34" t="n"/>
      <c r="M24" s="35">
        <f>L24-K24</f>
        <v/>
      </c>
      <c r="N24" s="36">
        <f>IF(K24=0,"",L24/K24)</f>
        <v/>
      </c>
      <c r="O24" s="37">
        <f>IF(K24=0,"لا ينطبق",IF(L24&gt;=K24,"مكتمل",IF(L24=0,"لا يوجد","عجز")))</f>
        <v/>
      </c>
      <c r="P24" s="38">
        <f>IF(CAP&lt;=$D$4,D24*CAP/$D$4,IF(CAP&gt;=$J$4,J24*CAP/$J$4,INDEX($D24:$J24,$D$3)+$E$3*(INDEX($D24:$J24,$D$3+1)-INDEX($D24:$J24,$D$3))))</f>
        <v/>
      </c>
      <c r="Q24" s="39" t="inlineStr"/>
    </row>
    <row r="25">
      <c r="A25" s="30" t="n">
        <v>21</v>
      </c>
      <c r="B25" s="31" t="inlineStr">
        <is>
          <t>طبيب</t>
        </is>
      </c>
      <c r="C25" s="5" t="inlineStr">
        <is>
          <t>استشاري أمراض دم وأورام</t>
        </is>
      </c>
      <c r="D25" s="32" t="n">
        <v>0</v>
      </c>
      <c r="E25" s="32" t="n">
        <v>0</v>
      </c>
      <c r="F25" s="32" t="n">
        <v>1</v>
      </c>
      <c r="G25" s="32" t="n">
        <v>1</v>
      </c>
      <c r="H25" s="32" t="n">
        <v>2</v>
      </c>
      <c r="I25" s="32" t="n">
        <v>3</v>
      </c>
      <c r="J25" s="32" t="n">
        <v>4</v>
      </c>
      <c r="K25" s="33">
        <f>IF(RMODE="تقريب لأعلى",ROUNDUP(P25,0),ROUND(P25,0))</f>
        <v/>
      </c>
      <c r="L25" s="34" t="n"/>
      <c r="M25" s="35">
        <f>L25-K25</f>
        <v/>
      </c>
      <c r="N25" s="36">
        <f>IF(K25=0,"",L25/K25)</f>
        <v/>
      </c>
      <c r="O25" s="37">
        <f>IF(K25=0,"لا ينطبق",IF(L25&gt;=K25,"مكتمل",IF(L25=0,"لا يوجد","عجز")))</f>
        <v/>
      </c>
      <c r="P25" s="38">
        <f>IF(CAP&lt;=$D$4,D25*CAP/$D$4,IF(CAP&gt;=$J$4,J25*CAP/$J$4,INDEX($D25:$J25,$D$3)+$E$3*(INDEX($D25:$J25,$D$3+1)-INDEX($D25:$J25,$D$3))))</f>
        <v/>
      </c>
      <c r="Q25" s="39" t="inlineStr">
        <is>
          <t>إيضاح 37: تطبق المسميات 21-30 عند توفر خدمات الأورام</t>
        </is>
      </c>
    </row>
    <row r="26">
      <c r="A26" s="30" t="n">
        <v>22</v>
      </c>
      <c r="B26" s="31" t="inlineStr">
        <is>
          <t>طبيب</t>
        </is>
      </c>
      <c r="C26" s="5" t="inlineStr">
        <is>
          <t>أخصائي أمراض دم وأورام</t>
        </is>
      </c>
      <c r="D26" s="32" t="n">
        <v>0</v>
      </c>
      <c r="E26" s="32" t="n">
        <v>0</v>
      </c>
      <c r="F26" s="32" t="n">
        <v>1</v>
      </c>
      <c r="G26" s="32" t="n">
        <v>2</v>
      </c>
      <c r="H26" s="32" t="n">
        <v>4</v>
      </c>
      <c r="I26" s="32" t="n">
        <v>5</v>
      </c>
      <c r="J26" s="32" t="n">
        <v>6</v>
      </c>
      <c r="K26" s="33">
        <f>IF(RMODE="تقريب لأعلى",ROUNDUP(P26,0),ROUND(P26,0))</f>
        <v/>
      </c>
      <c r="L26" s="34" t="n"/>
      <c r="M26" s="35">
        <f>L26-K26</f>
        <v/>
      </c>
      <c r="N26" s="36">
        <f>IF(K26=0,"",L26/K26)</f>
        <v/>
      </c>
      <c r="O26" s="37">
        <f>IF(K26=0,"لا ينطبق",IF(L26&gt;=K26,"مكتمل",IF(L26=0,"لا يوجد","عجز")))</f>
        <v/>
      </c>
      <c r="P26" s="38">
        <f>IF(CAP&lt;=$D$4,D26*CAP/$D$4,IF(CAP&gt;=$J$4,J26*CAP/$J$4,INDEX($D26:$J26,$D$3)+$E$3*(INDEX($D26:$J26,$D$3+1)-INDEX($D26:$J26,$D$3))))</f>
        <v/>
      </c>
      <c r="Q26" s="39" t="inlineStr">
        <is>
          <t>إيضاح 37</t>
        </is>
      </c>
    </row>
    <row r="27">
      <c r="A27" s="30" t="n">
        <v>23</v>
      </c>
      <c r="B27" s="31" t="inlineStr">
        <is>
          <t>طبيب</t>
        </is>
      </c>
      <c r="C27" s="5" t="inlineStr">
        <is>
          <t>استشاري أورام كبار</t>
        </is>
      </c>
      <c r="D27" s="32" t="n">
        <v>0</v>
      </c>
      <c r="E27" s="32" t="n">
        <v>0</v>
      </c>
      <c r="F27" s="32" t="n">
        <v>0</v>
      </c>
      <c r="G27" s="32" t="n">
        <v>1</v>
      </c>
      <c r="H27" s="32" t="n">
        <v>1</v>
      </c>
      <c r="I27" s="32" t="n">
        <v>2</v>
      </c>
      <c r="J27" s="32" t="n">
        <v>2</v>
      </c>
      <c r="K27" s="33">
        <f>IF(RMODE="تقريب لأعلى",ROUNDUP(P27,0),ROUND(P27,0))</f>
        <v/>
      </c>
      <c r="L27" s="34" t="n"/>
      <c r="M27" s="35">
        <f>L27-K27</f>
        <v/>
      </c>
      <c r="N27" s="36">
        <f>IF(K27=0,"",L27/K27)</f>
        <v/>
      </c>
      <c r="O27" s="37">
        <f>IF(K27=0,"لا ينطبق",IF(L27&gt;=K27,"مكتمل",IF(L27=0,"لا يوجد","عجز")))</f>
        <v/>
      </c>
      <c r="P27" s="38">
        <f>IF(CAP&lt;=$D$4,D27*CAP/$D$4,IF(CAP&gt;=$J$4,J27*CAP/$J$4,INDEX($D27:$J27,$D$3)+$E$3*(INDEX($D27:$J27,$D$3+1)-INDEX($D27:$J27,$D$3))))</f>
        <v/>
      </c>
      <c r="Q27" s="39" t="inlineStr">
        <is>
          <t>إيضاح 37</t>
        </is>
      </c>
    </row>
    <row r="28">
      <c r="A28" s="30" t="n">
        <v>24</v>
      </c>
      <c r="B28" s="31" t="inlineStr">
        <is>
          <t>طبيب</t>
        </is>
      </c>
      <c r="C28" s="5" t="inlineStr">
        <is>
          <t>أخصائي أورام كبار</t>
        </is>
      </c>
      <c r="D28" s="32" t="n">
        <v>0</v>
      </c>
      <c r="E28" s="32" t="n">
        <v>1</v>
      </c>
      <c r="F28" s="32" t="n">
        <v>1</v>
      </c>
      <c r="G28" s="32" t="n">
        <v>2</v>
      </c>
      <c r="H28" s="32" t="n">
        <v>2</v>
      </c>
      <c r="I28" s="32" t="n">
        <v>2</v>
      </c>
      <c r="J28" s="32" t="n">
        <v>3</v>
      </c>
      <c r="K28" s="33">
        <f>IF(RMODE="تقريب لأعلى",ROUNDUP(P28,0),ROUND(P28,0))</f>
        <v/>
      </c>
      <c r="L28" s="34" t="n"/>
      <c r="M28" s="35">
        <f>L28-K28</f>
        <v/>
      </c>
      <c r="N28" s="36">
        <f>IF(K28=0,"",L28/K28)</f>
        <v/>
      </c>
      <c r="O28" s="37">
        <f>IF(K28=0,"لا ينطبق",IF(L28&gt;=K28,"مكتمل",IF(L28=0,"لا يوجد","عجز")))</f>
        <v/>
      </c>
      <c r="P28" s="38">
        <f>IF(CAP&lt;=$D$4,D28*CAP/$D$4,IF(CAP&gt;=$J$4,J28*CAP/$J$4,INDEX($D28:$J28,$D$3)+$E$3*(INDEX($D28:$J28,$D$3+1)-INDEX($D28:$J28,$D$3))))</f>
        <v/>
      </c>
      <c r="Q28" s="39" t="inlineStr">
        <is>
          <t>إيضاح 37</t>
        </is>
      </c>
    </row>
    <row r="29">
      <c r="A29" s="30" t="n">
        <v>25</v>
      </c>
      <c r="B29" s="31" t="inlineStr">
        <is>
          <t>طبيب</t>
        </is>
      </c>
      <c r="C29" s="5" t="inlineStr">
        <is>
          <t>استشاري علاج إشعاعي أورام</t>
        </is>
      </c>
      <c r="D29" s="32" t="n">
        <v>0</v>
      </c>
      <c r="E29" s="32" t="n">
        <v>0</v>
      </c>
      <c r="F29" s="32" t="n">
        <v>0</v>
      </c>
      <c r="G29" s="32" t="n">
        <v>0</v>
      </c>
      <c r="H29" s="32" t="n">
        <v>2</v>
      </c>
      <c r="I29" s="32" t="n">
        <v>2</v>
      </c>
      <c r="J29" s="32" t="n">
        <v>3</v>
      </c>
      <c r="K29" s="33">
        <f>IF(RMODE="تقريب لأعلى",ROUNDUP(P29,0),ROUND(P29,0))</f>
        <v/>
      </c>
      <c r="L29" s="34" t="n"/>
      <c r="M29" s="35">
        <f>L29-K29</f>
        <v/>
      </c>
      <c r="N29" s="36">
        <f>IF(K29=0,"",L29/K29)</f>
        <v/>
      </c>
      <c r="O29" s="37">
        <f>IF(K29=0,"لا ينطبق",IF(L29&gt;=K29,"مكتمل",IF(L29=0,"لا يوجد","عجز")))</f>
        <v/>
      </c>
      <c r="P29" s="38">
        <f>IF(CAP&lt;=$D$4,D29*CAP/$D$4,IF(CAP&gt;=$J$4,J29*CAP/$J$4,INDEX($D29:$J29,$D$3)+$E$3*(INDEX($D29:$J29,$D$3+1)-INDEX($D29:$J29,$D$3))))</f>
        <v/>
      </c>
      <c r="Q29" s="39" t="inlineStr">
        <is>
          <t>إيضاح 37</t>
        </is>
      </c>
    </row>
    <row r="30">
      <c r="A30" s="30" t="n">
        <v>26</v>
      </c>
      <c r="B30" s="31" t="inlineStr">
        <is>
          <t>طبيب</t>
        </is>
      </c>
      <c r="C30" s="5" t="inlineStr">
        <is>
          <t>أخصائي علاج إشعاعي أورام</t>
        </is>
      </c>
      <c r="D30" s="32" t="n">
        <v>0</v>
      </c>
      <c r="E30" s="32" t="n">
        <v>0</v>
      </c>
      <c r="F30" s="32" t="n">
        <v>1</v>
      </c>
      <c r="G30" s="32" t="n">
        <v>2</v>
      </c>
      <c r="H30" s="32" t="n">
        <v>2</v>
      </c>
      <c r="I30" s="32" t="n">
        <v>3</v>
      </c>
      <c r="J30" s="32" t="n">
        <v>3</v>
      </c>
      <c r="K30" s="33">
        <f>IF(RMODE="تقريب لأعلى",ROUNDUP(P30,0),ROUND(P30,0))</f>
        <v/>
      </c>
      <c r="L30" s="34" t="n"/>
      <c r="M30" s="35">
        <f>L30-K30</f>
        <v/>
      </c>
      <c r="N30" s="36">
        <f>IF(K30=0,"",L30/K30)</f>
        <v/>
      </c>
      <c r="O30" s="37">
        <f>IF(K30=0,"لا ينطبق",IF(L30&gt;=K30,"مكتمل",IF(L30=0,"لا يوجد","عجز")))</f>
        <v/>
      </c>
      <c r="P30" s="38">
        <f>IF(CAP&lt;=$D$4,D30*CAP/$D$4,IF(CAP&gt;=$J$4,J30*CAP/$J$4,INDEX($D30:$J30,$D$3)+$E$3*(INDEX($D30:$J30,$D$3+1)-INDEX($D30:$J30,$D$3))))</f>
        <v/>
      </c>
      <c r="Q30" s="39" t="inlineStr">
        <is>
          <t>إيضاح 37</t>
        </is>
      </c>
    </row>
    <row r="31">
      <c r="A31" s="30" t="n">
        <v>27</v>
      </c>
      <c r="B31" s="31" t="inlineStr">
        <is>
          <t>طبيب</t>
        </is>
      </c>
      <c r="C31" s="5" t="inlineStr">
        <is>
          <t>استشاري علاج تلطيفي أورام</t>
        </is>
      </c>
      <c r="D31" s="32" t="n">
        <v>0</v>
      </c>
      <c r="E31" s="32" t="n">
        <v>0</v>
      </c>
      <c r="F31" s="32" t="n">
        <v>0</v>
      </c>
      <c r="G31" s="32" t="n">
        <v>1</v>
      </c>
      <c r="H31" s="32" t="n">
        <v>1</v>
      </c>
      <c r="I31" s="32" t="n">
        <v>2</v>
      </c>
      <c r="J31" s="32" t="n">
        <v>2</v>
      </c>
      <c r="K31" s="33">
        <f>IF(RMODE="تقريب لأعلى",ROUNDUP(P31,0),ROUND(P31,0))</f>
        <v/>
      </c>
      <c r="L31" s="34" t="n"/>
      <c r="M31" s="35">
        <f>L31-K31</f>
        <v/>
      </c>
      <c r="N31" s="36">
        <f>IF(K31=0,"",L31/K31)</f>
        <v/>
      </c>
      <c r="O31" s="37">
        <f>IF(K31=0,"لا ينطبق",IF(L31&gt;=K31,"مكتمل",IF(L31=0,"لا يوجد","عجز")))</f>
        <v/>
      </c>
      <c r="P31" s="38">
        <f>IF(CAP&lt;=$D$4,D31*CAP/$D$4,IF(CAP&gt;=$J$4,J31*CAP/$J$4,INDEX($D31:$J31,$D$3)+$E$3*(INDEX($D31:$J31,$D$3+1)-INDEX($D31:$J31,$D$3))))</f>
        <v/>
      </c>
      <c r="Q31" s="39" t="inlineStr">
        <is>
          <t>إيضاح 37</t>
        </is>
      </c>
    </row>
    <row r="32">
      <c r="A32" s="30" t="n">
        <v>28</v>
      </c>
      <c r="B32" s="31" t="inlineStr">
        <is>
          <t>طبيب</t>
        </is>
      </c>
      <c r="C32" s="5" t="inlineStr">
        <is>
          <t>أخصائي علاج تلطيفي أورام</t>
        </is>
      </c>
      <c r="D32" s="32" t="n">
        <v>0</v>
      </c>
      <c r="E32" s="32" t="n">
        <v>0</v>
      </c>
      <c r="F32" s="32" t="n">
        <v>1</v>
      </c>
      <c r="G32" s="32" t="n">
        <v>1</v>
      </c>
      <c r="H32" s="32" t="n">
        <v>2</v>
      </c>
      <c r="I32" s="32" t="n">
        <v>2</v>
      </c>
      <c r="J32" s="32" t="n">
        <v>2</v>
      </c>
      <c r="K32" s="33">
        <f>IF(RMODE="تقريب لأعلى",ROUNDUP(P32,0),ROUND(P32,0))</f>
        <v/>
      </c>
      <c r="L32" s="34" t="n"/>
      <c r="M32" s="35">
        <f>L32-K32</f>
        <v/>
      </c>
      <c r="N32" s="36">
        <f>IF(K32=0,"",L32/K32)</f>
        <v/>
      </c>
      <c r="O32" s="37">
        <f>IF(K32=0,"لا ينطبق",IF(L32&gt;=K32,"مكتمل",IF(L32=0,"لا يوجد","عجز")))</f>
        <v/>
      </c>
      <c r="P32" s="38">
        <f>IF(CAP&lt;=$D$4,D32*CAP/$D$4,IF(CAP&gt;=$J$4,J32*CAP/$J$4,INDEX($D32:$J32,$D$3)+$E$3*(INDEX($D32:$J32,$D$3+1)-INDEX($D32:$J32,$D$3))))</f>
        <v/>
      </c>
      <c r="Q32" s="39" t="inlineStr">
        <is>
          <t>إيضاح 37</t>
        </is>
      </c>
    </row>
    <row r="33">
      <c r="A33" s="30" t="n">
        <v>29</v>
      </c>
      <c r="B33" s="31" t="inlineStr">
        <is>
          <t>طبيب</t>
        </is>
      </c>
      <c r="C33" s="5" t="inlineStr">
        <is>
          <t>استشاري أورام أطفال</t>
        </is>
      </c>
      <c r="D33" s="32" t="n">
        <v>0</v>
      </c>
      <c r="E33" s="32" t="n">
        <v>0</v>
      </c>
      <c r="F33" s="32" t="n">
        <v>0</v>
      </c>
      <c r="G33" s="32" t="n">
        <v>1</v>
      </c>
      <c r="H33" s="32" t="n">
        <v>1</v>
      </c>
      <c r="I33" s="32" t="n">
        <v>2</v>
      </c>
      <c r="J33" s="32" t="n">
        <v>2</v>
      </c>
      <c r="K33" s="33">
        <f>IF(RMODE="تقريب لأعلى",ROUNDUP(P33,0),ROUND(P33,0))</f>
        <v/>
      </c>
      <c r="L33" s="34" t="n"/>
      <c r="M33" s="35">
        <f>L33-K33</f>
        <v/>
      </c>
      <c r="N33" s="36">
        <f>IF(K33=0,"",L33/K33)</f>
        <v/>
      </c>
      <c r="O33" s="37">
        <f>IF(K33=0,"لا ينطبق",IF(L33&gt;=K33,"مكتمل",IF(L33=0,"لا يوجد","عجز")))</f>
        <v/>
      </c>
      <c r="P33" s="38">
        <f>IF(CAP&lt;=$D$4,D33*CAP/$D$4,IF(CAP&gt;=$J$4,J33*CAP/$J$4,INDEX($D33:$J33,$D$3)+$E$3*(INDEX($D33:$J33,$D$3+1)-INDEX($D33:$J33,$D$3))))</f>
        <v/>
      </c>
      <c r="Q33" s="39" t="inlineStr">
        <is>
          <t>إيضاح 37</t>
        </is>
      </c>
    </row>
    <row r="34">
      <c r="A34" s="30" t="n">
        <v>30</v>
      </c>
      <c r="B34" s="31" t="inlineStr">
        <is>
          <t>طبيب</t>
        </is>
      </c>
      <c r="C34" s="5" t="inlineStr">
        <is>
          <t>أخصائي أورام أطفال</t>
        </is>
      </c>
      <c r="D34" s="32" t="n">
        <v>0</v>
      </c>
      <c r="E34" s="32" t="n">
        <v>0</v>
      </c>
      <c r="F34" s="32" t="n">
        <v>1</v>
      </c>
      <c r="G34" s="32" t="n">
        <v>2</v>
      </c>
      <c r="H34" s="32" t="n">
        <v>2</v>
      </c>
      <c r="I34" s="32" t="n">
        <v>3</v>
      </c>
      <c r="J34" s="32" t="n">
        <v>3</v>
      </c>
      <c r="K34" s="33">
        <f>IF(RMODE="تقريب لأعلى",ROUNDUP(P34,0),ROUND(P34,0))</f>
        <v/>
      </c>
      <c r="L34" s="34" t="n"/>
      <c r="M34" s="35">
        <f>L34-K34</f>
        <v/>
      </c>
      <c r="N34" s="36">
        <f>IF(K34=0,"",L34/K34)</f>
        <v/>
      </c>
      <c r="O34" s="37">
        <f>IF(K34=0,"لا ينطبق",IF(L34&gt;=K34,"مكتمل",IF(L34=0,"لا يوجد","عجز")))</f>
        <v/>
      </c>
      <c r="P34" s="38">
        <f>IF(CAP&lt;=$D$4,D34*CAP/$D$4,IF(CAP&gt;=$J$4,J34*CAP/$J$4,INDEX($D34:$J34,$D$3)+$E$3*(INDEX($D34:$J34,$D$3+1)-INDEX($D34:$J34,$D$3))))</f>
        <v/>
      </c>
      <c r="Q34" s="39" t="inlineStr">
        <is>
          <t>إيضاح 37</t>
        </is>
      </c>
    </row>
    <row r="35">
      <c r="A35" s="30" t="n">
        <v>31</v>
      </c>
      <c r="B35" s="31" t="inlineStr">
        <is>
          <t>طبيب</t>
        </is>
      </c>
      <c r="C35" s="5" t="inlineStr">
        <is>
          <t>استشاري أمراض وراثية واستقلابية</t>
        </is>
      </c>
      <c r="D35" s="32" t="n">
        <v>0</v>
      </c>
      <c r="E35" s="32" t="n">
        <v>0</v>
      </c>
      <c r="F35" s="32" t="n">
        <v>0</v>
      </c>
      <c r="G35" s="32" t="n">
        <v>0</v>
      </c>
      <c r="H35" s="32" t="n">
        <v>1</v>
      </c>
      <c r="I35" s="32" t="n">
        <v>2</v>
      </c>
      <c r="J35" s="32" t="n">
        <v>2</v>
      </c>
      <c r="K35" s="33">
        <f>IF(RMODE="تقريب لأعلى",ROUNDUP(P35,0),ROUND(P35,0))</f>
        <v/>
      </c>
      <c r="L35" s="34" t="n"/>
      <c r="M35" s="35">
        <f>L35-K35</f>
        <v/>
      </c>
      <c r="N35" s="36">
        <f>IF(K35=0,"",L35/K35)</f>
        <v/>
      </c>
      <c r="O35" s="37">
        <f>IF(K35=0,"لا ينطبق",IF(L35&gt;=K35,"مكتمل",IF(L35=0,"لا يوجد","عجز")))</f>
        <v/>
      </c>
      <c r="P35" s="38">
        <f>IF(CAP&lt;=$D$4,D35*CAP/$D$4,IF(CAP&gt;=$J$4,J35*CAP/$J$4,INDEX($D35:$J35,$D$3)+$E$3*(INDEX($D35:$J35,$D$3+1)-INDEX($D35:$J35,$D$3))))</f>
        <v/>
      </c>
      <c r="Q35" s="39" t="inlineStr"/>
    </row>
    <row r="36">
      <c r="A36" s="30" t="n">
        <v>32</v>
      </c>
      <c r="B36" s="31" t="inlineStr">
        <is>
          <t>طبيب</t>
        </is>
      </c>
      <c r="C36" s="5" t="inlineStr">
        <is>
          <t>أخصائي أمراض وراثية واستقلابية</t>
        </is>
      </c>
      <c r="D36" s="32" t="n">
        <v>0</v>
      </c>
      <c r="E36" s="32" t="n">
        <v>0</v>
      </c>
      <c r="F36" s="32" t="n">
        <v>0</v>
      </c>
      <c r="G36" s="32" t="n">
        <v>2</v>
      </c>
      <c r="H36" s="32" t="n">
        <v>2</v>
      </c>
      <c r="I36" s="32" t="n">
        <v>3</v>
      </c>
      <c r="J36" s="32" t="n">
        <v>3</v>
      </c>
      <c r="K36" s="33">
        <f>IF(RMODE="تقريب لأعلى",ROUNDUP(P36,0),ROUND(P36,0))</f>
        <v/>
      </c>
      <c r="L36" s="34" t="n"/>
      <c r="M36" s="35">
        <f>L36-K36</f>
        <v/>
      </c>
      <c r="N36" s="36">
        <f>IF(K36=0,"",L36/K36)</f>
        <v/>
      </c>
      <c r="O36" s="37">
        <f>IF(K36=0,"لا ينطبق",IF(L36&gt;=K36,"مكتمل",IF(L36=0,"لا يوجد","عجز")))</f>
        <v/>
      </c>
      <c r="P36" s="38">
        <f>IF(CAP&lt;=$D$4,D36*CAP/$D$4,IF(CAP&gt;=$J$4,J36*CAP/$J$4,INDEX($D36:$J36,$D$3)+$E$3*(INDEX($D36:$J36,$D$3+1)-INDEX($D36:$J36,$D$3))))</f>
        <v/>
      </c>
      <c r="Q36" s="39" t="inlineStr"/>
    </row>
    <row r="37">
      <c r="A37" s="30" t="n">
        <v>33</v>
      </c>
      <c r="B37" s="31" t="inlineStr">
        <is>
          <t>طبيب</t>
        </is>
      </c>
      <c r="C37" s="5" t="inlineStr">
        <is>
          <t>استشاري أمراض صدرية</t>
        </is>
      </c>
      <c r="D37" s="32" t="n">
        <v>0</v>
      </c>
      <c r="E37" s="32" t="n">
        <v>1</v>
      </c>
      <c r="F37" s="32" t="n">
        <v>1</v>
      </c>
      <c r="G37" s="32" t="n">
        <v>2</v>
      </c>
      <c r="H37" s="32" t="n">
        <v>2</v>
      </c>
      <c r="I37" s="32" t="n">
        <v>3</v>
      </c>
      <c r="J37" s="32" t="n">
        <v>3</v>
      </c>
      <c r="K37" s="33">
        <f>IF(RMODE="تقريب لأعلى",ROUNDUP(P37,0),ROUND(P37,0))</f>
        <v/>
      </c>
      <c r="L37" s="34" t="n"/>
      <c r="M37" s="35">
        <f>L37-K37</f>
        <v/>
      </c>
      <c r="N37" s="36">
        <f>IF(K37=0,"",L37/K37)</f>
        <v/>
      </c>
      <c r="O37" s="37">
        <f>IF(K37=0,"لا ينطبق",IF(L37&gt;=K37,"مكتمل",IF(L37=0,"لا يوجد","عجز")))</f>
        <v/>
      </c>
      <c r="P37" s="38">
        <f>IF(CAP&lt;=$D$4,D37*CAP/$D$4,IF(CAP&gt;=$J$4,J37*CAP/$J$4,INDEX($D37:$J37,$D$3)+$E$3*(INDEX($D37:$J37,$D$3+1)-INDEX($D37:$J37,$D$3))))</f>
        <v/>
      </c>
      <c r="Q37" s="39" t="inlineStr"/>
    </row>
    <row r="38">
      <c r="A38" s="30" t="n">
        <v>34</v>
      </c>
      <c r="B38" s="31" t="inlineStr">
        <is>
          <t>طبيب</t>
        </is>
      </c>
      <c r="C38" s="5" t="inlineStr">
        <is>
          <t>أخصائي أمراض صدرية</t>
        </is>
      </c>
      <c r="D38" s="32" t="n">
        <v>1</v>
      </c>
      <c r="E38" s="32" t="n">
        <v>1</v>
      </c>
      <c r="F38" s="32" t="n">
        <v>2</v>
      </c>
      <c r="G38" s="32" t="n">
        <v>2</v>
      </c>
      <c r="H38" s="32" t="n">
        <v>3</v>
      </c>
      <c r="I38" s="32" t="n">
        <v>4</v>
      </c>
      <c r="J38" s="32" t="n">
        <v>5</v>
      </c>
      <c r="K38" s="33">
        <f>IF(RMODE="تقريب لأعلى",ROUNDUP(P38,0),ROUND(P38,0))</f>
        <v/>
      </c>
      <c r="L38" s="34" t="n"/>
      <c r="M38" s="35">
        <f>L38-K38</f>
        <v/>
      </c>
      <c r="N38" s="36">
        <f>IF(K38=0,"",L38/K38)</f>
        <v/>
      </c>
      <c r="O38" s="37">
        <f>IF(K38=0,"لا ينطبق",IF(L38&gt;=K38,"مكتمل",IF(L38=0,"لا يوجد","عجز")))</f>
        <v/>
      </c>
      <c r="P38" s="38">
        <f>IF(CAP&lt;=$D$4,D38*CAP/$D$4,IF(CAP&gt;=$J$4,J38*CAP/$J$4,INDEX($D38:$J38,$D$3)+$E$3*(INDEX($D38:$J38,$D$3+1)-INDEX($D38:$J38,$D$3))))</f>
        <v/>
      </c>
      <c r="Q38" s="39" t="inlineStr"/>
    </row>
    <row r="39">
      <c r="A39" s="30" t="n">
        <v>35</v>
      </c>
      <c r="B39" s="31" t="inlineStr">
        <is>
          <t>طبيب</t>
        </is>
      </c>
      <c r="C39" s="5" t="inlineStr">
        <is>
          <t>استشاري أمراض معدية</t>
        </is>
      </c>
      <c r="D39" s="32" t="n">
        <v>0</v>
      </c>
      <c r="E39" s="32" t="n">
        <v>0</v>
      </c>
      <c r="F39" s="32" t="n">
        <v>1</v>
      </c>
      <c r="G39" s="32" t="n">
        <v>1</v>
      </c>
      <c r="H39" s="32" t="n">
        <v>3</v>
      </c>
      <c r="I39" s="32" t="n">
        <v>4</v>
      </c>
      <c r="J39" s="32" t="n">
        <v>4</v>
      </c>
      <c r="K39" s="33">
        <f>IF(RMODE="تقريب لأعلى",ROUNDUP(P39,0),ROUND(P39,0))</f>
        <v/>
      </c>
      <c r="L39" s="34" t="n"/>
      <c r="M39" s="35">
        <f>L39-K39</f>
        <v/>
      </c>
      <c r="N39" s="36">
        <f>IF(K39=0,"",L39/K39)</f>
        <v/>
      </c>
      <c r="O39" s="37">
        <f>IF(K39=0,"لا ينطبق",IF(L39&gt;=K39,"مكتمل",IF(L39=0,"لا يوجد","عجز")))</f>
        <v/>
      </c>
      <c r="P39" s="38">
        <f>IF(CAP&lt;=$D$4,D39*CAP/$D$4,IF(CAP&gt;=$J$4,J39*CAP/$J$4,INDEX($D39:$J39,$D$3)+$E$3*(INDEX($D39:$J39,$D$3+1)-INDEX($D39:$J39,$D$3))))</f>
        <v/>
      </c>
      <c r="Q39" s="39" t="inlineStr"/>
    </row>
    <row r="40">
      <c r="A40" s="30" t="n">
        <v>36</v>
      </c>
      <c r="B40" s="31" t="inlineStr">
        <is>
          <t>طبيب</t>
        </is>
      </c>
      <c r="C40" s="5" t="inlineStr">
        <is>
          <t>أخصائي أمراض معدية</t>
        </is>
      </c>
      <c r="D40" s="32" t="n">
        <v>0</v>
      </c>
      <c r="E40" s="32" t="n">
        <v>1</v>
      </c>
      <c r="F40" s="32" t="n">
        <v>1</v>
      </c>
      <c r="G40" s="32" t="n">
        <v>1</v>
      </c>
      <c r="H40" s="32" t="n">
        <v>3</v>
      </c>
      <c r="I40" s="32" t="n">
        <v>3</v>
      </c>
      <c r="J40" s="32" t="n">
        <v>4</v>
      </c>
      <c r="K40" s="33">
        <f>IF(RMODE="تقريب لأعلى",ROUNDUP(P40,0),ROUND(P40,0))</f>
        <v/>
      </c>
      <c r="L40" s="34" t="n"/>
      <c r="M40" s="35">
        <f>L40-K40</f>
        <v/>
      </c>
      <c r="N40" s="36">
        <f>IF(K40=0,"",L40/K40)</f>
        <v/>
      </c>
      <c r="O40" s="37">
        <f>IF(K40=0,"لا ينطبق",IF(L40&gt;=K40,"مكتمل",IF(L40=0,"لا يوجد","عجز")))</f>
        <v/>
      </c>
      <c r="P40" s="38">
        <f>IF(CAP&lt;=$D$4,D40*CAP/$D$4,IF(CAP&gt;=$J$4,J40*CAP/$J$4,INDEX($D40:$J40,$D$3)+$E$3*(INDEX($D40:$J40,$D$3+1)-INDEX($D40:$J40,$D$3))))</f>
        <v/>
      </c>
      <c r="Q40" s="39" t="inlineStr"/>
    </row>
    <row r="41">
      <c r="A41" s="30" t="n">
        <v>37</v>
      </c>
      <c r="B41" s="31" t="inlineStr">
        <is>
          <t>طبيب</t>
        </is>
      </c>
      <c r="C41" s="5" t="inlineStr">
        <is>
          <t>استشاري روماتيزم</t>
        </is>
      </c>
      <c r="D41" s="32" t="n">
        <v>0</v>
      </c>
      <c r="E41" s="32" t="n">
        <v>0</v>
      </c>
      <c r="F41" s="32" t="n">
        <v>0</v>
      </c>
      <c r="G41" s="32" t="n">
        <v>1</v>
      </c>
      <c r="H41" s="32" t="n">
        <v>2</v>
      </c>
      <c r="I41" s="32" t="n">
        <v>3</v>
      </c>
      <c r="J41" s="32" t="n">
        <v>3</v>
      </c>
      <c r="K41" s="33">
        <f>IF(RMODE="تقريب لأعلى",ROUNDUP(P41,0),ROUND(P41,0))</f>
        <v/>
      </c>
      <c r="L41" s="34" t="n"/>
      <c r="M41" s="35">
        <f>L41-K41</f>
        <v/>
      </c>
      <c r="N41" s="36">
        <f>IF(K41=0,"",L41/K41)</f>
        <v/>
      </c>
      <c r="O41" s="37">
        <f>IF(K41=0,"لا ينطبق",IF(L41&gt;=K41,"مكتمل",IF(L41=0,"لا يوجد","عجز")))</f>
        <v/>
      </c>
      <c r="P41" s="38">
        <f>IF(CAP&lt;=$D$4,D41*CAP/$D$4,IF(CAP&gt;=$J$4,J41*CAP/$J$4,INDEX($D41:$J41,$D$3)+$E$3*(INDEX($D41:$J41,$D$3+1)-INDEX($D41:$J41,$D$3))))</f>
        <v/>
      </c>
      <c r="Q41" s="39" t="inlineStr"/>
    </row>
    <row r="42">
      <c r="A42" s="30" t="n">
        <v>38</v>
      </c>
      <c r="B42" s="31" t="inlineStr">
        <is>
          <t>طبيب</t>
        </is>
      </c>
      <c r="C42" s="5" t="inlineStr">
        <is>
          <t>أخصائي روماتيزم</t>
        </is>
      </c>
      <c r="D42" s="32" t="n">
        <v>0</v>
      </c>
      <c r="E42" s="32" t="n">
        <v>0</v>
      </c>
      <c r="F42" s="32" t="n">
        <v>0</v>
      </c>
      <c r="G42" s="32" t="n">
        <v>1</v>
      </c>
      <c r="H42" s="32" t="n">
        <v>2</v>
      </c>
      <c r="I42" s="32" t="n">
        <v>2</v>
      </c>
      <c r="J42" s="32" t="n">
        <v>3</v>
      </c>
      <c r="K42" s="33">
        <f>IF(RMODE="تقريب لأعلى",ROUNDUP(P42,0),ROUND(P42,0))</f>
        <v/>
      </c>
      <c r="L42" s="34" t="n"/>
      <c r="M42" s="35">
        <f>L42-K42</f>
        <v/>
      </c>
      <c r="N42" s="36">
        <f>IF(K42=0,"",L42/K42)</f>
        <v/>
      </c>
      <c r="O42" s="37">
        <f>IF(K42=0,"لا ينطبق",IF(L42&gt;=K42,"مكتمل",IF(L42=0,"لا يوجد","عجز")))</f>
        <v/>
      </c>
      <c r="P42" s="38">
        <f>IF(CAP&lt;=$D$4,D42*CAP/$D$4,IF(CAP&gt;=$J$4,J42*CAP/$J$4,INDEX($D42:$J42,$D$3)+$E$3*(INDEX($D42:$J42,$D$3+1)-INDEX($D42:$J42,$D$3))))</f>
        <v/>
      </c>
      <c r="Q42" s="39" t="inlineStr"/>
    </row>
    <row r="43">
      <c r="A43" s="30" t="n">
        <v>39</v>
      </c>
      <c r="B43" s="31" t="inlineStr">
        <is>
          <t>طبيب</t>
        </is>
      </c>
      <c r="C43" s="5" t="inlineStr">
        <is>
          <t>طبيب استشاري طب نفسي</t>
        </is>
      </c>
      <c r="D43" s="32" t="n">
        <v>1</v>
      </c>
      <c r="E43" s="32" t="n">
        <v>1</v>
      </c>
      <c r="F43" s="32" t="n">
        <v>1</v>
      </c>
      <c r="G43" s="32" t="n">
        <v>1</v>
      </c>
      <c r="H43" s="32" t="n">
        <v>1</v>
      </c>
      <c r="I43" s="32" t="n">
        <v>1</v>
      </c>
      <c r="J43" s="32" t="n">
        <v>2</v>
      </c>
      <c r="K43" s="33">
        <f>IF(RMODE="تقريب لأعلى",ROUNDUP(P43,0),ROUND(P43,0))</f>
        <v/>
      </c>
      <c r="L43" s="34" t="n"/>
      <c r="M43" s="35">
        <f>L43-K43</f>
        <v/>
      </c>
      <c r="N43" s="36">
        <f>IF(K43=0,"",L43/K43)</f>
        <v/>
      </c>
      <c r="O43" s="37">
        <f>IF(K43=0,"لا ينطبق",IF(L43&gt;=K43,"مكتمل",IF(L43=0,"لا يوجد","عجز")))</f>
        <v/>
      </c>
      <c r="P43" s="38">
        <f>IF(CAP&lt;=$D$4,D43*CAP/$D$4,IF(CAP&gt;=$J$4,J43*CAP/$J$4,INDEX($D43:$J43,$D$3)+$E$3*(INDEX($D43:$J43,$D$3+1)-INDEX($D43:$J43,$D$3))))</f>
        <v/>
      </c>
      <c r="Q43" s="39" t="inlineStr"/>
    </row>
    <row r="44">
      <c r="A44" s="30" t="n">
        <v>40</v>
      </c>
      <c r="B44" s="31" t="inlineStr">
        <is>
          <t>طبيب</t>
        </is>
      </c>
      <c r="C44" s="5" t="inlineStr">
        <is>
          <t>طبيب أخصائي طب نفسي</t>
        </is>
      </c>
      <c r="D44" s="32" t="n">
        <v>0</v>
      </c>
      <c r="E44" s="32" t="n">
        <v>1</v>
      </c>
      <c r="F44" s="32" t="n">
        <v>1</v>
      </c>
      <c r="G44" s="32" t="n">
        <v>1</v>
      </c>
      <c r="H44" s="32" t="n">
        <v>1</v>
      </c>
      <c r="I44" s="32" t="n">
        <v>1</v>
      </c>
      <c r="J44" s="32" t="n">
        <v>1</v>
      </c>
      <c r="K44" s="33">
        <f>IF(RMODE="تقريب لأعلى",ROUNDUP(P44,0),ROUND(P44,0))</f>
        <v/>
      </c>
      <c r="L44" s="34" t="n"/>
      <c r="M44" s="35">
        <f>L44-K44</f>
        <v/>
      </c>
      <c r="N44" s="36">
        <f>IF(K44=0,"",L44/K44)</f>
        <v/>
      </c>
      <c r="O44" s="37">
        <f>IF(K44=0,"لا ينطبق",IF(L44&gt;=K44,"مكتمل",IF(L44=0,"لا يوجد","عجز")))</f>
        <v/>
      </c>
      <c r="P44" s="38">
        <f>IF(CAP&lt;=$D$4,D44*CAP/$D$4,IF(CAP&gt;=$J$4,J44*CAP/$J$4,INDEX($D44:$J44,$D$3)+$E$3*(INDEX($D44:$J44,$D$3+1)-INDEX($D44:$J44,$D$3))))</f>
        <v/>
      </c>
      <c r="Q44" s="39" t="inlineStr"/>
    </row>
    <row r="45">
      <c r="A45" s="30" t="n">
        <v>41</v>
      </c>
      <c r="B45" s="31" t="inlineStr">
        <is>
          <t>طبيب</t>
        </is>
      </c>
      <c r="C45" s="5" t="inlineStr">
        <is>
          <t>طبيب مقيم نفسي</t>
        </is>
      </c>
      <c r="D45" s="32" t="n">
        <v>1</v>
      </c>
      <c r="E45" s="32" t="n">
        <v>2</v>
      </c>
      <c r="F45" s="32" t="n">
        <v>3</v>
      </c>
      <c r="G45" s="32" t="n">
        <v>3</v>
      </c>
      <c r="H45" s="32" t="n">
        <v>5</v>
      </c>
      <c r="I45" s="32" t="n">
        <v>6</v>
      </c>
      <c r="J45" s="32" t="n">
        <v>6</v>
      </c>
      <c r="K45" s="33">
        <f>IF(RMODE="تقريب لأعلى",ROUNDUP(P45,0),ROUND(P45,0))</f>
        <v/>
      </c>
      <c r="L45" s="34" t="n"/>
      <c r="M45" s="35">
        <f>L45-K45</f>
        <v/>
      </c>
      <c r="N45" s="36">
        <f>IF(K45=0,"",L45/K45)</f>
        <v/>
      </c>
      <c r="O45" s="37">
        <f>IF(K45=0,"لا ينطبق",IF(L45&gt;=K45,"مكتمل",IF(L45=0,"لا يوجد","عجز")))</f>
        <v/>
      </c>
      <c r="P45" s="38">
        <f>IF(CAP&lt;=$D$4,D45*CAP/$D$4,IF(CAP&gt;=$J$4,J45*CAP/$J$4,INDEX($D45:$J45,$D$3)+$E$3*(INDEX($D45:$J45,$D$3+1)-INDEX($D45:$J45,$D$3))))</f>
        <v/>
      </c>
      <c r="Q45" s="39" t="inlineStr"/>
    </row>
    <row r="46">
      <c r="A46" s="30" t="n">
        <v>42</v>
      </c>
      <c r="B46" s="31" t="inlineStr">
        <is>
          <t>طبيب</t>
        </is>
      </c>
      <c r="C46" s="5" t="inlineStr">
        <is>
          <t>استشاري طب نفسي أطفال ومراهقين</t>
        </is>
      </c>
      <c r="D46" s="32" t="n">
        <v>0</v>
      </c>
      <c r="E46" s="32" t="n">
        <v>1</v>
      </c>
      <c r="F46" s="32" t="n">
        <v>1</v>
      </c>
      <c r="G46" s="32" t="n">
        <v>2</v>
      </c>
      <c r="H46" s="32" t="n">
        <v>2</v>
      </c>
      <c r="I46" s="32" t="n">
        <v>3</v>
      </c>
      <c r="J46" s="32" t="n">
        <v>3</v>
      </c>
      <c r="K46" s="33">
        <f>IF(RMODE="تقريب لأعلى",ROUNDUP(P46,0),ROUND(P46,0))</f>
        <v/>
      </c>
      <c r="L46" s="34" t="n"/>
      <c r="M46" s="35">
        <f>L46-K46</f>
        <v/>
      </c>
      <c r="N46" s="36">
        <f>IF(K46=0,"",L46/K46)</f>
        <v/>
      </c>
      <c r="O46" s="37">
        <f>IF(K46=0,"لا ينطبق",IF(L46&gt;=K46,"مكتمل",IF(L46=0,"لا يوجد","عجز")))</f>
        <v/>
      </c>
      <c r="P46" s="38">
        <f>IF(CAP&lt;=$D$4,D46*CAP/$D$4,IF(CAP&gt;=$J$4,J46*CAP/$J$4,INDEX($D46:$J46,$D$3)+$E$3*(INDEX($D46:$J46,$D$3+1)-INDEX($D46:$J46,$D$3))))</f>
        <v/>
      </c>
      <c r="Q46" s="39" t="inlineStr"/>
    </row>
    <row r="47">
      <c r="A47" s="30" t="n">
        <v>43</v>
      </c>
      <c r="B47" s="31" t="inlineStr">
        <is>
          <t>طبيب</t>
        </is>
      </c>
      <c r="C47" s="5" t="inlineStr">
        <is>
          <t>استشاري علم المناعة والحساسية</t>
        </is>
      </c>
      <c r="D47" s="32" t="n">
        <v>0</v>
      </c>
      <c r="E47" s="32" t="n">
        <v>0</v>
      </c>
      <c r="F47" s="32" t="n">
        <v>0</v>
      </c>
      <c r="G47" s="32" t="n">
        <v>1</v>
      </c>
      <c r="H47" s="32" t="n">
        <v>2</v>
      </c>
      <c r="I47" s="32" t="n">
        <v>4</v>
      </c>
      <c r="J47" s="32" t="n">
        <v>3</v>
      </c>
      <c r="K47" s="33">
        <f>IF(RMODE="تقريب لأعلى",ROUNDUP(P47,0),ROUND(P47,0))</f>
        <v/>
      </c>
      <c r="L47" s="34" t="n"/>
      <c r="M47" s="35">
        <f>L47-K47</f>
        <v/>
      </c>
      <c r="N47" s="36">
        <f>IF(K47=0,"",L47/K47)</f>
        <v/>
      </c>
      <c r="O47" s="37">
        <f>IF(K47=0,"لا ينطبق",IF(L47&gt;=K47,"مكتمل",IF(L47=0,"لا يوجد","عجز")))</f>
        <v/>
      </c>
      <c r="P47" s="38">
        <f>IF(CAP&lt;=$D$4,D47*CAP/$D$4,IF(CAP&gt;=$J$4,J47*CAP/$J$4,INDEX($D47:$J47,$D$3)+$E$3*(INDEX($D47:$J47,$D$3+1)-INDEX($D47:$J47,$D$3))))</f>
        <v/>
      </c>
      <c r="Q47" s="39" t="inlineStr"/>
    </row>
    <row r="48">
      <c r="A48" s="30" t="n">
        <v>44</v>
      </c>
      <c r="B48" s="31" t="inlineStr">
        <is>
          <t>طبيب</t>
        </is>
      </c>
      <c r="C48" s="5" t="inlineStr">
        <is>
          <t>استشاري أمراض جلدية وتناسلية</t>
        </is>
      </c>
      <c r="D48" s="32" t="n">
        <v>0</v>
      </c>
      <c r="E48" s="32" t="n">
        <v>1</v>
      </c>
      <c r="F48" s="32" t="n">
        <v>1</v>
      </c>
      <c r="G48" s="32" t="n">
        <v>2</v>
      </c>
      <c r="H48" s="32" t="n">
        <v>3</v>
      </c>
      <c r="I48" s="32" t="n">
        <v>4</v>
      </c>
      <c r="J48" s="32" t="n">
        <v>5</v>
      </c>
      <c r="K48" s="33">
        <f>IF(RMODE="تقريب لأعلى",ROUNDUP(P48,0),ROUND(P48,0))</f>
        <v/>
      </c>
      <c r="L48" s="34" t="n"/>
      <c r="M48" s="35">
        <f>L48-K48</f>
        <v/>
      </c>
      <c r="N48" s="36">
        <f>IF(K48=0,"",L48/K48)</f>
        <v/>
      </c>
      <c r="O48" s="37">
        <f>IF(K48=0,"لا ينطبق",IF(L48&gt;=K48,"مكتمل",IF(L48=0,"لا يوجد","عجز")))</f>
        <v/>
      </c>
      <c r="P48" s="38">
        <f>IF(CAP&lt;=$D$4,D48*CAP/$D$4,IF(CAP&gt;=$J$4,J48*CAP/$J$4,INDEX($D48:$J48,$D$3)+$E$3*(INDEX($D48:$J48,$D$3+1)-INDEX($D48:$J48,$D$3))))</f>
        <v/>
      </c>
      <c r="Q48" s="39" t="inlineStr"/>
    </row>
    <row r="49">
      <c r="A49" s="30" t="n">
        <v>45</v>
      </c>
      <c r="B49" s="31" t="inlineStr">
        <is>
          <t>طبيب</t>
        </is>
      </c>
      <c r="C49" s="5" t="inlineStr">
        <is>
          <t>أخصائي أمراض جلدية وتناسلية</t>
        </is>
      </c>
      <c r="D49" s="32" t="n">
        <v>1</v>
      </c>
      <c r="E49" s="32" t="n">
        <v>1</v>
      </c>
      <c r="F49" s="32" t="n">
        <v>1</v>
      </c>
      <c r="G49" s="32" t="n">
        <v>2</v>
      </c>
      <c r="H49" s="32" t="n">
        <v>3</v>
      </c>
      <c r="I49" s="32" t="n">
        <v>4</v>
      </c>
      <c r="J49" s="32" t="n">
        <v>5</v>
      </c>
      <c r="K49" s="33">
        <f>IF(RMODE="تقريب لأعلى",ROUNDUP(P49,0),ROUND(P49,0))</f>
        <v/>
      </c>
      <c r="L49" s="34" t="n"/>
      <c r="M49" s="35">
        <f>L49-K49</f>
        <v/>
      </c>
      <c r="N49" s="36">
        <f>IF(K49=0,"",L49/K49)</f>
        <v/>
      </c>
      <c r="O49" s="37">
        <f>IF(K49=0,"لا ينطبق",IF(L49&gt;=K49,"مكتمل",IF(L49=0,"لا يوجد","عجز")))</f>
        <v/>
      </c>
      <c r="P49" s="38">
        <f>IF(CAP&lt;=$D$4,D49*CAP/$D$4,IF(CAP&gt;=$J$4,J49*CAP/$J$4,INDEX($D49:$J49,$D$3)+$E$3*(INDEX($D49:$J49,$D$3+1)-INDEX($D49:$J49,$D$3))))</f>
        <v/>
      </c>
      <c r="Q49" s="39" t="inlineStr"/>
    </row>
    <row r="50">
      <c r="A50" s="30" t="n">
        <v>46</v>
      </c>
      <c r="B50" s="31" t="inlineStr">
        <is>
          <t>طبيب</t>
        </is>
      </c>
      <c r="C50" s="5" t="inlineStr">
        <is>
          <t>استشاري طب طبيعي وتأهيل</t>
        </is>
      </c>
      <c r="D50" s="32" t="n">
        <v>0</v>
      </c>
      <c r="E50" s="32" t="n">
        <v>0</v>
      </c>
      <c r="F50" s="32" t="n">
        <v>0</v>
      </c>
      <c r="G50" s="32" t="n">
        <v>1</v>
      </c>
      <c r="H50" s="32" t="n">
        <v>2</v>
      </c>
      <c r="I50" s="32" t="n">
        <v>2</v>
      </c>
      <c r="J50" s="32" t="n">
        <v>3</v>
      </c>
      <c r="K50" s="33">
        <f>IF(RMODE="تقريب لأعلى",ROUNDUP(P50,0),ROUND(P50,0))</f>
        <v/>
      </c>
      <c r="L50" s="34" t="n"/>
      <c r="M50" s="35">
        <f>L50-K50</f>
        <v/>
      </c>
      <c r="N50" s="36">
        <f>IF(K50=0,"",L50/K50)</f>
        <v/>
      </c>
      <c r="O50" s="37">
        <f>IF(K50=0,"لا ينطبق",IF(L50&gt;=K50,"مكتمل",IF(L50=0,"لا يوجد","عجز")))</f>
        <v/>
      </c>
      <c r="P50" s="38">
        <f>IF(CAP&lt;=$D$4,D50*CAP/$D$4,IF(CAP&gt;=$J$4,J50*CAP/$J$4,INDEX($D50:$J50,$D$3)+$E$3*(INDEX($D50:$J50,$D$3+1)-INDEX($D50:$J50,$D$3))))</f>
        <v/>
      </c>
      <c r="Q50" s="39" t="inlineStr">
        <is>
          <t>إيضاح 34: يعتمد في المستشفيات التي بها مركز تأهيل معتمد</t>
        </is>
      </c>
    </row>
    <row r="51">
      <c r="A51" s="30" t="n">
        <v>47</v>
      </c>
      <c r="B51" s="31" t="inlineStr">
        <is>
          <t>طبيب</t>
        </is>
      </c>
      <c r="C51" s="5" t="inlineStr">
        <is>
          <t>أخصائي طب طبيعي وتأهيل</t>
        </is>
      </c>
      <c r="D51" s="32" t="n">
        <v>0</v>
      </c>
      <c r="E51" s="32" t="n">
        <v>0</v>
      </c>
      <c r="F51" s="32" t="n">
        <v>0</v>
      </c>
      <c r="G51" s="32" t="n">
        <v>1</v>
      </c>
      <c r="H51" s="32" t="n">
        <v>2</v>
      </c>
      <c r="I51" s="32" t="n">
        <v>2</v>
      </c>
      <c r="J51" s="32" t="n">
        <v>3</v>
      </c>
      <c r="K51" s="33">
        <f>IF(RMODE="تقريب لأعلى",ROUNDUP(P51,0),ROUND(P51,0))</f>
        <v/>
      </c>
      <c r="L51" s="34" t="n"/>
      <c r="M51" s="35">
        <f>L51-K51</f>
        <v/>
      </c>
      <c r="N51" s="36">
        <f>IF(K51=0,"",L51/K51)</f>
        <v/>
      </c>
      <c r="O51" s="37">
        <f>IF(K51=0,"لا ينطبق",IF(L51&gt;=K51,"مكتمل",IF(L51=0,"لا يوجد","عجز")))</f>
        <v/>
      </c>
      <c r="P51" s="38">
        <f>IF(CAP&lt;=$D$4,D51*CAP/$D$4,IF(CAP&gt;=$J$4,J51*CAP/$J$4,INDEX($D51:$J51,$D$3)+$E$3*(INDEX($D51:$J51,$D$3+1)-INDEX($D51:$J51,$D$3))))</f>
        <v/>
      </c>
      <c r="Q51" s="39" t="inlineStr">
        <is>
          <t>إيضاح 34</t>
        </is>
      </c>
    </row>
    <row r="52">
      <c r="A52" s="30" t="n">
        <v>48</v>
      </c>
      <c r="B52" s="31" t="inlineStr">
        <is>
          <t>طبيب</t>
        </is>
      </c>
      <c r="C52" s="5" t="inlineStr">
        <is>
          <t>مقيم طب طبيعي وتأهيل</t>
        </is>
      </c>
      <c r="D52" s="32" t="n">
        <v>0</v>
      </c>
      <c r="E52" s="32" t="n">
        <v>0</v>
      </c>
      <c r="F52" s="32" t="n">
        <v>0</v>
      </c>
      <c r="G52" s="32" t="n">
        <v>1</v>
      </c>
      <c r="H52" s="32" t="n">
        <v>2</v>
      </c>
      <c r="I52" s="32" t="n">
        <v>2</v>
      </c>
      <c r="J52" s="32" t="n">
        <v>3</v>
      </c>
      <c r="K52" s="33">
        <f>IF(RMODE="تقريب لأعلى",ROUNDUP(P52,0),ROUND(P52,0))</f>
        <v/>
      </c>
      <c r="L52" s="34" t="n"/>
      <c r="M52" s="35">
        <f>L52-K52</f>
        <v/>
      </c>
      <c r="N52" s="36">
        <f>IF(K52=0,"",L52/K52)</f>
        <v/>
      </c>
      <c r="O52" s="37">
        <f>IF(K52=0,"لا ينطبق",IF(L52&gt;=K52,"مكتمل",IF(L52=0,"لا يوجد","عجز")))</f>
        <v/>
      </c>
      <c r="P52" s="38">
        <f>IF(CAP&lt;=$D$4,D52*CAP/$D$4,IF(CAP&gt;=$J$4,J52*CAP/$J$4,INDEX($D52:$J52,$D$3)+$E$3*(INDEX($D52:$J52,$D$3+1)-INDEX($D52:$J52,$D$3))))</f>
        <v/>
      </c>
      <c r="Q52" s="39" t="inlineStr">
        <is>
          <t>إيضاح 34</t>
        </is>
      </c>
    </row>
    <row r="53">
      <c r="A53" s="30" t="n">
        <v>49</v>
      </c>
      <c r="B53" s="31" t="inlineStr">
        <is>
          <t>طبيب</t>
        </is>
      </c>
      <c r="C53" s="5" t="inlineStr">
        <is>
          <t>استشاري جراحة عامة</t>
        </is>
      </c>
      <c r="D53" s="32" t="n">
        <v>2</v>
      </c>
      <c r="E53" s="32" t="n">
        <v>3</v>
      </c>
      <c r="F53" s="32" t="n">
        <v>3</v>
      </c>
      <c r="G53" s="32" t="n">
        <v>3</v>
      </c>
      <c r="H53" s="32" t="n">
        <v>4</v>
      </c>
      <c r="I53" s="32" t="n">
        <v>4</v>
      </c>
      <c r="J53" s="32" t="n">
        <v>5</v>
      </c>
      <c r="K53" s="33">
        <f>IF(RMODE="تقريب لأعلى",ROUNDUP(P53,0),ROUND(P53,0))</f>
        <v/>
      </c>
      <c r="L53" s="34" t="n"/>
      <c r="M53" s="35">
        <f>L53-K53</f>
        <v/>
      </c>
      <c r="N53" s="36">
        <f>IF(K53=0,"",L53/K53)</f>
        <v/>
      </c>
      <c r="O53" s="37">
        <f>IF(K53=0,"لا ينطبق",IF(L53&gt;=K53,"مكتمل",IF(L53=0,"لا يوجد","عجز")))</f>
        <v/>
      </c>
      <c r="P53" s="38">
        <f>IF(CAP&lt;=$D$4,D53*CAP/$D$4,IF(CAP&gt;=$J$4,J53*CAP/$J$4,INDEX($D53:$J53,$D$3)+$E$3*(INDEX($D53:$J53,$D$3+1)-INDEX($D53:$J53,$D$3))))</f>
        <v/>
      </c>
      <c r="Q53" s="39" t="inlineStr">
        <is>
          <t>إيضاح 19: يعتمد معيار تخصصات الجراحة العامة إذا كان المستشفى مرجعياً</t>
        </is>
      </c>
    </row>
    <row r="54">
      <c r="A54" s="30" t="n">
        <v>50</v>
      </c>
      <c r="B54" s="31" t="inlineStr">
        <is>
          <t>طبيب</t>
        </is>
      </c>
      <c r="C54" s="5" t="inlineStr">
        <is>
          <t>أخصائي جراحة عامة</t>
        </is>
      </c>
      <c r="D54" s="32" t="n">
        <v>3</v>
      </c>
      <c r="E54" s="32" t="n">
        <v>3</v>
      </c>
      <c r="F54" s="32" t="n">
        <v>5</v>
      </c>
      <c r="G54" s="32" t="n">
        <v>5</v>
      </c>
      <c r="H54" s="32" t="n">
        <v>6</v>
      </c>
      <c r="I54" s="32" t="n">
        <v>6</v>
      </c>
      <c r="J54" s="32" t="n">
        <v>10</v>
      </c>
      <c r="K54" s="33">
        <f>IF(RMODE="تقريب لأعلى",ROUNDUP(P54,0),ROUND(P54,0))</f>
        <v/>
      </c>
      <c r="L54" s="34" t="n"/>
      <c r="M54" s="35">
        <f>L54-K54</f>
        <v/>
      </c>
      <c r="N54" s="36">
        <f>IF(K54=0,"",L54/K54)</f>
        <v/>
      </c>
      <c r="O54" s="37">
        <f>IF(K54=0,"لا ينطبق",IF(L54&gt;=K54,"مكتمل",IF(L54=0,"لا يوجد","عجز")))</f>
        <v/>
      </c>
      <c r="P54" s="38">
        <f>IF(CAP&lt;=$D$4,D54*CAP/$D$4,IF(CAP&gt;=$J$4,J54*CAP/$J$4,INDEX($D54:$J54,$D$3)+$E$3*(INDEX($D54:$J54,$D$3+1)-INDEX($D54:$J54,$D$3))))</f>
        <v/>
      </c>
      <c r="Q54" s="39" t="inlineStr">
        <is>
          <t>إيضاح 19</t>
        </is>
      </c>
    </row>
    <row r="55">
      <c r="A55" s="30" t="n">
        <v>51</v>
      </c>
      <c r="B55" s="31" t="inlineStr">
        <is>
          <t>طبيب</t>
        </is>
      </c>
      <c r="C55" s="5" t="inlineStr">
        <is>
          <t>مقيم جراحة عامة</t>
        </is>
      </c>
      <c r="D55" s="32" t="n">
        <v>4</v>
      </c>
      <c r="E55" s="32" t="n">
        <v>6</v>
      </c>
      <c r="F55" s="32" t="n">
        <v>8</v>
      </c>
      <c r="G55" s="32" t="n">
        <v>8</v>
      </c>
      <c r="H55" s="32" t="n">
        <v>11</v>
      </c>
      <c r="I55" s="32" t="n">
        <v>13</v>
      </c>
      <c r="J55" s="32" t="n">
        <v>15</v>
      </c>
      <c r="K55" s="33">
        <f>IF(RMODE="تقريب لأعلى",ROUNDUP(P55,0),ROUND(P55,0))</f>
        <v/>
      </c>
      <c r="L55" s="34" t="n"/>
      <c r="M55" s="35">
        <f>L55-K55</f>
        <v/>
      </c>
      <c r="N55" s="36">
        <f>IF(K55=0,"",L55/K55)</f>
        <v/>
      </c>
      <c r="O55" s="37">
        <f>IF(K55=0,"لا ينطبق",IF(L55&gt;=K55,"مكتمل",IF(L55=0,"لا يوجد","عجز")))</f>
        <v/>
      </c>
      <c r="P55" s="38">
        <f>IF(CAP&lt;=$D$4,D55*CAP/$D$4,IF(CAP&gt;=$J$4,J55*CAP/$J$4,INDEX($D55:$J55,$D$3)+$E$3*(INDEX($D55:$J55,$D$3+1)-INDEX($D55:$J55,$D$3))))</f>
        <v/>
      </c>
      <c r="Q55" s="39" t="inlineStr">
        <is>
          <t>إيضاح 19</t>
        </is>
      </c>
    </row>
    <row r="56">
      <c r="A56" s="30" t="n">
        <v>52</v>
      </c>
      <c r="B56" s="31" t="inlineStr">
        <is>
          <t>طبيب</t>
        </is>
      </c>
      <c r="C56" s="5" t="inlineStr">
        <is>
          <t>استشاري جراحة غدد صماء وثدي</t>
        </is>
      </c>
      <c r="D56" s="32" t="n">
        <v>0</v>
      </c>
      <c r="E56" s="32" t="n">
        <v>0</v>
      </c>
      <c r="F56" s="32" t="n">
        <v>0</v>
      </c>
      <c r="G56" s="32" t="n">
        <v>0</v>
      </c>
      <c r="H56" s="32" t="n">
        <v>1</v>
      </c>
      <c r="I56" s="32" t="n">
        <v>1</v>
      </c>
      <c r="J56" s="32" t="n">
        <v>2</v>
      </c>
      <c r="K56" s="33">
        <f>IF(RMODE="تقريب لأعلى",ROUNDUP(P56,0),ROUND(P56,0))</f>
        <v/>
      </c>
      <c r="L56" s="34" t="n"/>
      <c r="M56" s="35">
        <f>L56-K56</f>
        <v/>
      </c>
      <c r="N56" s="36">
        <f>IF(K56=0,"",L56/K56)</f>
        <v/>
      </c>
      <c r="O56" s="37">
        <f>IF(K56=0,"لا ينطبق",IF(L56&gt;=K56,"مكتمل",IF(L56=0,"لا يوجد","عجز")))</f>
        <v/>
      </c>
      <c r="P56" s="38">
        <f>IF(CAP&lt;=$D$4,D56*CAP/$D$4,IF(CAP&gt;=$J$4,J56*CAP/$J$4,INDEX($D56:$J56,$D$3)+$E$3*(INDEX($D56:$J56,$D$3+1)-INDEX($D56:$J56,$D$3))))</f>
        <v/>
      </c>
      <c r="Q56" s="39" t="inlineStr"/>
    </row>
    <row r="57">
      <c r="A57" s="30" t="n">
        <v>53</v>
      </c>
      <c r="B57" s="31" t="inlineStr">
        <is>
          <t>طبيب</t>
        </is>
      </c>
      <c r="C57" s="5" t="inlineStr">
        <is>
          <t>أخصائي جراحة غدد صماء وثدي</t>
        </is>
      </c>
      <c r="D57" s="32" t="n">
        <v>0</v>
      </c>
      <c r="E57" s="32" t="n">
        <v>0</v>
      </c>
      <c r="F57" s="32" t="n">
        <v>0</v>
      </c>
      <c r="G57" s="32" t="n">
        <v>0</v>
      </c>
      <c r="H57" s="32" t="n">
        <v>1</v>
      </c>
      <c r="I57" s="32" t="n">
        <v>1</v>
      </c>
      <c r="J57" s="32" t="n">
        <v>2</v>
      </c>
      <c r="K57" s="33">
        <f>IF(RMODE="تقريب لأعلى",ROUNDUP(P57,0),ROUND(P57,0))</f>
        <v/>
      </c>
      <c r="L57" s="34" t="n"/>
      <c r="M57" s="35">
        <f>L57-K57</f>
        <v/>
      </c>
      <c r="N57" s="36">
        <f>IF(K57=0,"",L57/K57)</f>
        <v/>
      </c>
      <c r="O57" s="37">
        <f>IF(K57=0,"لا ينطبق",IF(L57&gt;=K57,"مكتمل",IF(L57=0,"لا يوجد","عجز")))</f>
        <v/>
      </c>
      <c r="P57" s="38">
        <f>IF(CAP&lt;=$D$4,D57*CAP/$D$4,IF(CAP&gt;=$J$4,J57*CAP/$J$4,INDEX($D57:$J57,$D$3)+$E$3*(INDEX($D57:$J57,$D$3+1)-INDEX($D57:$J57,$D$3))))</f>
        <v/>
      </c>
      <c r="Q57" s="39" t="inlineStr"/>
    </row>
    <row r="58">
      <c r="A58" s="30" t="n">
        <v>54</v>
      </c>
      <c r="B58" s="31" t="inlineStr">
        <is>
          <t>طبيب</t>
        </is>
      </c>
      <c r="C58" s="5" t="inlineStr">
        <is>
          <t>استشاري جراحة كبد وقنوات مرارية</t>
        </is>
      </c>
      <c r="D58" s="32" t="n">
        <v>0</v>
      </c>
      <c r="E58" s="32" t="n">
        <v>0</v>
      </c>
      <c r="F58" s="32" t="n">
        <v>0</v>
      </c>
      <c r="G58" s="32" t="n">
        <v>0</v>
      </c>
      <c r="H58" s="32" t="n">
        <v>1</v>
      </c>
      <c r="I58" s="32" t="n">
        <v>1</v>
      </c>
      <c r="J58" s="32" t="n">
        <v>2</v>
      </c>
      <c r="K58" s="33">
        <f>IF(RMODE="تقريب لأعلى",ROUNDUP(P58,0),ROUND(P58,0))</f>
        <v/>
      </c>
      <c r="L58" s="34" t="n"/>
      <c r="M58" s="35">
        <f>L58-K58</f>
        <v/>
      </c>
      <c r="N58" s="36">
        <f>IF(K58=0,"",L58/K58)</f>
        <v/>
      </c>
      <c r="O58" s="37">
        <f>IF(K58=0,"لا ينطبق",IF(L58&gt;=K58,"مكتمل",IF(L58=0,"لا يوجد","عجز")))</f>
        <v/>
      </c>
      <c r="P58" s="38">
        <f>IF(CAP&lt;=$D$4,D58*CAP/$D$4,IF(CAP&gt;=$J$4,J58*CAP/$J$4,INDEX($D58:$J58,$D$3)+$E$3*(INDEX($D58:$J58,$D$3+1)-INDEX($D58:$J58,$D$3))))</f>
        <v/>
      </c>
      <c r="Q58" s="39" t="inlineStr"/>
    </row>
    <row r="59">
      <c r="A59" s="30" t="n">
        <v>55</v>
      </c>
      <c r="B59" s="31" t="inlineStr">
        <is>
          <t>طبيب</t>
        </is>
      </c>
      <c r="C59" s="5" t="inlineStr">
        <is>
          <t>أخصائي جراحة كبد وقنوات مرارية</t>
        </is>
      </c>
      <c r="D59" s="32" t="n">
        <v>0</v>
      </c>
      <c r="E59" s="32" t="n">
        <v>0</v>
      </c>
      <c r="F59" s="32" t="n">
        <v>0</v>
      </c>
      <c r="G59" s="32" t="n">
        <v>0</v>
      </c>
      <c r="H59" s="32" t="n">
        <v>1</v>
      </c>
      <c r="I59" s="32" t="n">
        <v>1</v>
      </c>
      <c r="J59" s="32" t="n">
        <v>2</v>
      </c>
      <c r="K59" s="33">
        <f>IF(RMODE="تقريب لأعلى",ROUNDUP(P59,0),ROUND(P59,0))</f>
        <v/>
      </c>
      <c r="L59" s="34" t="n"/>
      <c r="M59" s="35">
        <f>L59-K59</f>
        <v/>
      </c>
      <c r="N59" s="36">
        <f>IF(K59=0,"",L59/K59)</f>
        <v/>
      </c>
      <c r="O59" s="37">
        <f>IF(K59=0,"لا ينطبق",IF(L59&gt;=K59,"مكتمل",IF(L59=0,"لا يوجد","عجز")))</f>
        <v/>
      </c>
      <c r="P59" s="38">
        <f>IF(CAP&lt;=$D$4,D59*CAP/$D$4,IF(CAP&gt;=$J$4,J59*CAP/$J$4,INDEX($D59:$J59,$D$3)+$E$3*(INDEX($D59:$J59,$D$3+1)-INDEX($D59:$J59,$D$3))))</f>
        <v/>
      </c>
      <c r="Q59" s="39" t="inlineStr"/>
    </row>
    <row r="60">
      <c r="A60" s="30" t="n">
        <v>56</v>
      </c>
      <c r="B60" s="31" t="inlineStr">
        <is>
          <t>طبيب</t>
        </is>
      </c>
      <c r="C60" s="5" t="inlineStr">
        <is>
          <t>استشاري جراحة قولون ومستقيم</t>
        </is>
      </c>
      <c r="D60" s="32" t="n">
        <v>0</v>
      </c>
      <c r="E60" s="32" t="n">
        <v>0</v>
      </c>
      <c r="F60" s="32" t="n">
        <v>0</v>
      </c>
      <c r="G60" s="32" t="n">
        <v>0</v>
      </c>
      <c r="H60" s="32" t="n">
        <v>1</v>
      </c>
      <c r="I60" s="32" t="n">
        <v>1</v>
      </c>
      <c r="J60" s="32" t="n">
        <v>2</v>
      </c>
      <c r="K60" s="33">
        <f>IF(RMODE="تقريب لأعلى",ROUNDUP(P60,0),ROUND(P60,0))</f>
        <v/>
      </c>
      <c r="L60" s="34" t="n"/>
      <c r="M60" s="35">
        <f>L60-K60</f>
        <v/>
      </c>
      <c r="N60" s="36">
        <f>IF(K60=0,"",L60/K60)</f>
        <v/>
      </c>
      <c r="O60" s="37">
        <f>IF(K60=0,"لا ينطبق",IF(L60&gt;=K60,"مكتمل",IF(L60=0,"لا يوجد","عجز")))</f>
        <v/>
      </c>
      <c r="P60" s="38">
        <f>IF(CAP&lt;=$D$4,D60*CAP/$D$4,IF(CAP&gt;=$J$4,J60*CAP/$J$4,INDEX($D60:$J60,$D$3)+$E$3*(INDEX($D60:$J60,$D$3+1)-INDEX($D60:$J60,$D$3))))</f>
        <v/>
      </c>
      <c r="Q60" s="39" t="inlineStr"/>
    </row>
    <row r="61">
      <c r="A61" s="30" t="n">
        <v>57</v>
      </c>
      <c r="B61" s="31" t="inlineStr">
        <is>
          <t>طبيب</t>
        </is>
      </c>
      <c r="C61" s="5" t="inlineStr">
        <is>
          <t>أخصائي جراحة قولون ومستقيم</t>
        </is>
      </c>
      <c r="D61" s="32" t="n">
        <v>0</v>
      </c>
      <c r="E61" s="32" t="n">
        <v>0</v>
      </c>
      <c r="F61" s="32" t="n">
        <v>0</v>
      </c>
      <c r="G61" s="32" t="n">
        <v>0</v>
      </c>
      <c r="H61" s="32" t="n">
        <v>1</v>
      </c>
      <c r="I61" s="32" t="n">
        <v>1</v>
      </c>
      <c r="J61" s="32" t="n">
        <v>2</v>
      </c>
      <c r="K61" s="33">
        <f>IF(RMODE="تقريب لأعلى",ROUNDUP(P61,0),ROUND(P61,0))</f>
        <v/>
      </c>
      <c r="L61" s="34" t="n"/>
      <c r="M61" s="35">
        <f>L61-K61</f>
        <v/>
      </c>
      <c r="N61" s="36">
        <f>IF(K61=0,"",L61/K61)</f>
        <v/>
      </c>
      <c r="O61" s="37">
        <f>IF(K61=0,"لا ينطبق",IF(L61&gt;=K61,"مكتمل",IF(L61=0,"لا يوجد","عجز")))</f>
        <v/>
      </c>
      <c r="P61" s="38">
        <f>IF(CAP&lt;=$D$4,D61*CAP/$D$4,IF(CAP&gt;=$J$4,J61*CAP/$J$4,INDEX($D61:$J61,$D$3)+$E$3*(INDEX($D61:$J61,$D$3+1)-INDEX($D61:$J61,$D$3))))</f>
        <v/>
      </c>
      <c r="Q61" s="39" t="inlineStr"/>
    </row>
    <row r="62">
      <c r="A62" s="30" t="n">
        <v>58</v>
      </c>
      <c r="B62" s="31" t="inlineStr">
        <is>
          <t>طبيب</t>
        </is>
      </c>
      <c r="C62" s="5" t="inlineStr">
        <is>
          <t>استشاري جراحة سمنة</t>
        </is>
      </c>
      <c r="D62" s="32" t="n">
        <v>0</v>
      </c>
      <c r="E62" s="32" t="n">
        <v>0</v>
      </c>
      <c r="F62" s="32" t="n">
        <v>0</v>
      </c>
      <c r="G62" s="32" t="n">
        <v>1</v>
      </c>
      <c r="H62" s="32" t="n">
        <v>3</v>
      </c>
      <c r="I62" s="32" t="n">
        <v>3</v>
      </c>
      <c r="J62" s="32" t="n">
        <v>4</v>
      </c>
      <c r="K62" s="33">
        <f>IF(RMODE="تقريب لأعلى",ROUNDUP(P62,0),ROUND(P62,0))</f>
        <v/>
      </c>
      <c r="L62" s="34" t="n"/>
      <c r="M62" s="35">
        <f>L62-K62</f>
        <v/>
      </c>
      <c r="N62" s="36">
        <f>IF(K62=0,"",L62/K62)</f>
        <v/>
      </c>
      <c r="O62" s="37">
        <f>IF(K62=0,"لا ينطبق",IF(L62&gt;=K62,"مكتمل",IF(L62=0,"لا يوجد","عجز")))</f>
        <v/>
      </c>
      <c r="P62" s="38">
        <f>IF(CAP&lt;=$D$4,D62*CAP/$D$4,IF(CAP&gt;=$J$4,J62*CAP/$J$4,INDEX($D62:$J62,$D$3)+$E$3*(INDEX($D62:$J62,$D$3+1)-INDEX($D62:$J62,$D$3))))</f>
        <v/>
      </c>
      <c r="Q62" s="39" t="inlineStr">
        <is>
          <t>إيضاح 41: يطبق في حال كان المركز معتمداً</t>
        </is>
      </c>
    </row>
    <row r="63">
      <c r="A63" s="30" t="n">
        <v>59</v>
      </c>
      <c r="B63" s="31" t="inlineStr">
        <is>
          <t>طبيب</t>
        </is>
      </c>
      <c r="C63" s="5" t="inlineStr">
        <is>
          <t>أخصائي جراحة سمنة</t>
        </is>
      </c>
      <c r="D63" s="32" t="n">
        <v>0</v>
      </c>
      <c r="E63" s="32" t="n">
        <v>0</v>
      </c>
      <c r="F63" s="32" t="n">
        <v>0</v>
      </c>
      <c r="G63" s="32" t="n">
        <v>0</v>
      </c>
      <c r="H63" s="32" t="n">
        <v>1</v>
      </c>
      <c r="I63" s="32" t="n">
        <v>1</v>
      </c>
      <c r="J63" s="32" t="n">
        <v>2</v>
      </c>
      <c r="K63" s="33">
        <f>IF(RMODE="تقريب لأعلى",ROUNDUP(P63,0),ROUND(P63,0))</f>
        <v/>
      </c>
      <c r="L63" s="34" t="n"/>
      <c r="M63" s="35">
        <f>L63-K63</f>
        <v/>
      </c>
      <c r="N63" s="36">
        <f>IF(K63=0,"",L63/K63)</f>
        <v/>
      </c>
      <c r="O63" s="37">
        <f>IF(K63=0,"لا ينطبق",IF(L63&gt;=K63,"مكتمل",IF(L63=0,"لا يوجد","عجز")))</f>
        <v/>
      </c>
      <c r="P63" s="38">
        <f>IF(CAP&lt;=$D$4,D63*CAP/$D$4,IF(CAP&gt;=$J$4,J63*CAP/$J$4,INDEX($D63:$J63,$D$3)+$E$3*(INDEX($D63:$J63,$D$3+1)-INDEX($D63:$J63,$D$3))))</f>
        <v/>
      </c>
      <c r="Q63" s="39" t="inlineStr">
        <is>
          <t>إيضاح 41</t>
        </is>
      </c>
    </row>
    <row r="64">
      <c r="A64" s="30" t="n">
        <v>60</v>
      </c>
      <c r="B64" s="31" t="inlineStr">
        <is>
          <t>طبيب</t>
        </is>
      </c>
      <c r="C64" s="5" t="inlineStr">
        <is>
          <t>استشاري جراحة جهاز هضمي</t>
        </is>
      </c>
      <c r="D64" s="32" t="n">
        <v>0</v>
      </c>
      <c r="E64" s="32" t="n">
        <v>0</v>
      </c>
      <c r="F64" s="32" t="n">
        <v>0</v>
      </c>
      <c r="G64" s="32" t="n">
        <v>0</v>
      </c>
      <c r="H64" s="32" t="n">
        <v>1</v>
      </c>
      <c r="I64" s="32" t="n">
        <v>1</v>
      </c>
      <c r="J64" s="32" t="n">
        <v>2</v>
      </c>
      <c r="K64" s="33">
        <f>IF(RMODE="تقريب لأعلى",ROUNDUP(P64,0),ROUND(P64,0))</f>
        <v/>
      </c>
      <c r="L64" s="34" t="n"/>
      <c r="M64" s="35">
        <f>L64-K64</f>
        <v/>
      </c>
      <c r="N64" s="36">
        <f>IF(K64=0,"",L64/K64)</f>
        <v/>
      </c>
      <c r="O64" s="37">
        <f>IF(K64=0,"لا ينطبق",IF(L64&gt;=K64,"مكتمل",IF(L64=0,"لا يوجد","عجز")))</f>
        <v/>
      </c>
      <c r="P64" s="38">
        <f>IF(CAP&lt;=$D$4,D64*CAP/$D$4,IF(CAP&gt;=$J$4,J64*CAP/$J$4,INDEX($D64:$J64,$D$3)+$E$3*(INDEX($D64:$J64,$D$3+1)-INDEX($D64:$J64,$D$3))))</f>
        <v/>
      </c>
      <c r="Q64" s="39" t="inlineStr"/>
    </row>
    <row r="65">
      <c r="A65" s="30" t="n">
        <v>61</v>
      </c>
      <c r="B65" s="31" t="inlineStr">
        <is>
          <t>طبيب</t>
        </is>
      </c>
      <c r="C65" s="5" t="inlineStr">
        <is>
          <t>أخصائي جراحة جهاز هضمي</t>
        </is>
      </c>
      <c r="D65" s="32" t="n">
        <v>0</v>
      </c>
      <c r="E65" s="32" t="n">
        <v>0</v>
      </c>
      <c r="F65" s="32" t="n">
        <v>0</v>
      </c>
      <c r="G65" s="32" t="n">
        <v>0</v>
      </c>
      <c r="H65" s="32" t="n">
        <v>1</v>
      </c>
      <c r="I65" s="32" t="n">
        <v>1</v>
      </c>
      <c r="J65" s="32" t="n">
        <v>2</v>
      </c>
      <c r="K65" s="33">
        <f>IF(RMODE="تقريب لأعلى",ROUNDUP(P65,0),ROUND(P65,0))</f>
        <v/>
      </c>
      <c r="L65" s="34" t="n"/>
      <c r="M65" s="35">
        <f>L65-K65</f>
        <v/>
      </c>
      <c r="N65" s="36">
        <f>IF(K65=0,"",L65/K65)</f>
        <v/>
      </c>
      <c r="O65" s="37">
        <f>IF(K65=0,"لا ينطبق",IF(L65&gt;=K65,"مكتمل",IF(L65=0,"لا يوجد","عجز")))</f>
        <v/>
      </c>
      <c r="P65" s="38">
        <f>IF(CAP&lt;=$D$4,D65*CAP/$D$4,IF(CAP&gt;=$J$4,J65*CAP/$J$4,INDEX($D65:$J65,$D$3)+$E$3*(INDEX($D65:$J65,$D$3+1)-INDEX($D65:$J65,$D$3))))</f>
        <v/>
      </c>
      <c r="Q65" s="39" t="inlineStr"/>
    </row>
    <row r="66">
      <c r="A66" s="30" t="n">
        <v>62</v>
      </c>
      <c r="B66" s="31" t="inlineStr">
        <is>
          <t>طبيب</t>
        </is>
      </c>
      <c r="C66" s="5" t="inlineStr">
        <is>
          <t>استشاري مسالك بولية</t>
        </is>
      </c>
      <c r="D66" s="32" t="n">
        <v>0</v>
      </c>
      <c r="E66" s="32" t="n">
        <v>1</v>
      </c>
      <c r="F66" s="32" t="n">
        <v>1</v>
      </c>
      <c r="G66" s="32" t="n">
        <v>4</v>
      </c>
      <c r="H66" s="32" t="n">
        <v>4</v>
      </c>
      <c r="I66" s="32" t="n">
        <v>4</v>
      </c>
      <c r="J66" s="32" t="n">
        <v>5</v>
      </c>
      <c r="K66" s="33">
        <f>IF(RMODE="تقريب لأعلى",ROUNDUP(P66,0),ROUND(P66,0))</f>
        <v/>
      </c>
      <c r="L66" s="34" t="n"/>
      <c r="M66" s="35">
        <f>L66-K66</f>
        <v/>
      </c>
      <c r="N66" s="36">
        <f>IF(K66=0,"",L66/K66)</f>
        <v/>
      </c>
      <c r="O66" s="37">
        <f>IF(K66=0,"لا ينطبق",IF(L66&gt;=K66,"مكتمل",IF(L66=0,"لا يوجد","عجز")))</f>
        <v/>
      </c>
      <c r="P66" s="38">
        <f>IF(CAP&lt;=$D$4,D66*CAP/$D$4,IF(CAP&gt;=$J$4,J66*CAP/$J$4,INDEX($D66:$J66,$D$3)+$E$3*(INDEX($D66:$J66,$D$3+1)-INDEX($D66:$J66,$D$3))))</f>
        <v/>
      </c>
      <c r="Q66" s="39" t="inlineStr">
        <is>
          <t>إيضاح 36 للمستشفيات التخصصية 500 سرير فأكثر</t>
        </is>
      </c>
    </row>
    <row r="67">
      <c r="A67" s="30" t="n">
        <v>63</v>
      </c>
      <c r="B67" s="31" t="inlineStr">
        <is>
          <t>طبيب</t>
        </is>
      </c>
      <c r="C67" s="5" t="inlineStr">
        <is>
          <t>أخصائي مسالك بولية</t>
        </is>
      </c>
      <c r="D67" s="32" t="n">
        <v>2</v>
      </c>
      <c r="E67" s="32" t="n">
        <v>2</v>
      </c>
      <c r="F67" s="32" t="n">
        <v>2</v>
      </c>
      <c r="G67" s="32" t="n">
        <v>2</v>
      </c>
      <c r="H67" s="32" t="n">
        <v>3</v>
      </c>
      <c r="I67" s="32" t="n">
        <v>3</v>
      </c>
      <c r="J67" s="32" t="n">
        <v>3</v>
      </c>
      <c r="K67" s="33">
        <f>IF(RMODE="تقريب لأعلى",ROUNDUP(P67,0),ROUND(P67,0))</f>
        <v/>
      </c>
      <c r="L67" s="34" t="n"/>
      <c r="M67" s="35">
        <f>L67-K67</f>
        <v/>
      </c>
      <c r="N67" s="36">
        <f>IF(K67=0,"",L67/K67)</f>
        <v/>
      </c>
      <c r="O67" s="37">
        <f>IF(K67=0,"لا ينطبق",IF(L67&gt;=K67,"مكتمل",IF(L67=0,"لا يوجد","عجز")))</f>
        <v/>
      </c>
      <c r="P67" s="38">
        <f>IF(CAP&lt;=$D$4,D67*CAP/$D$4,IF(CAP&gt;=$J$4,J67*CAP/$J$4,INDEX($D67:$J67,$D$3)+$E$3*(INDEX($D67:$J67,$D$3+1)-INDEX($D67:$J67,$D$3))))</f>
        <v/>
      </c>
      <c r="Q67" s="39" t="inlineStr"/>
    </row>
    <row r="68">
      <c r="A68" s="30" t="n">
        <v>64</v>
      </c>
      <c r="B68" s="31" t="inlineStr">
        <is>
          <t>طبيب</t>
        </is>
      </c>
      <c r="C68" s="5" t="inlineStr">
        <is>
          <t>مقيم مسالك بولية</t>
        </is>
      </c>
      <c r="D68" s="32" t="n">
        <v>0</v>
      </c>
      <c r="E68" s="32" t="n">
        <v>0</v>
      </c>
      <c r="F68" s="32" t="n">
        <v>1</v>
      </c>
      <c r="G68" s="32" t="n">
        <v>2</v>
      </c>
      <c r="H68" s="32" t="n">
        <v>4</v>
      </c>
      <c r="I68" s="32" t="n">
        <v>4</v>
      </c>
      <c r="J68" s="32" t="n">
        <v>4</v>
      </c>
      <c r="K68" s="33">
        <f>IF(RMODE="تقريب لأعلى",ROUNDUP(P68,0),ROUND(P68,0))</f>
        <v/>
      </c>
      <c r="L68" s="34" t="n"/>
      <c r="M68" s="35">
        <f>L68-K68</f>
        <v/>
      </c>
      <c r="N68" s="36">
        <f>IF(K68=0,"",L68/K68)</f>
        <v/>
      </c>
      <c r="O68" s="37">
        <f>IF(K68=0,"لا ينطبق",IF(L68&gt;=K68,"مكتمل",IF(L68=0,"لا يوجد","عجز")))</f>
        <v/>
      </c>
      <c r="P68" s="38">
        <f>IF(CAP&lt;=$D$4,D68*CAP/$D$4,IF(CAP&gt;=$J$4,J68*CAP/$J$4,INDEX($D68:$J68,$D$3)+$E$3*(INDEX($D68:$J68,$D$3+1)-INDEX($D68:$J68,$D$3))))</f>
        <v/>
      </c>
      <c r="Q68" s="39" t="inlineStr"/>
    </row>
    <row r="69">
      <c r="A69" s="30" t="n">
        <v>65</v>
      </c>
      <c r="B69" s="31" t="inlineStr">
        <is>
          <t>طبيب</t>
        </is>
      </c>
      <c r="C69" s="5" t="inlineStr">
        <is>
          <t>استشاري عظام</t>
        </is>
      </c>
      <c r="D69" s="32" t="n">
        <v>0</v>
      </c>
      <c r="E69" s="32" t="n">
        <v>3</v>
      </c>
      <c r="F69" s="32" t="n">
        <v>3</v>
      </c>
      <c r="G69" s="32" t="n">
        <v>4</v>
      </c>
      <c r="H69" s="32" t="n">
        <v>4</v>
      </c>
      <c r="I69" s="32" t="n">
        <v>5</v>
      </c>
      <c r="J69" s="32" t="n">
        <v>6</v>
      </c>
      <c r="K69" s="33">
        <f>IF(RMODE="تقريب لأعلى",ROUNDUP(P69,0),ROUND(P69,0))</f>
        <v/>
      </c>
      <c r="L69" s="34" t="n"/>
      <c r="M69" s="35">
        <f>L69-K69</f>
        <v/>
      </c>
      <c r="N69" s="36">
        <f>IF(K69=0,"",L69/K69)</f>
        <v/>
      </c>
      <c r="O69" s="37">
        <f>IF(K69=0,"لا ينطبق",IF(L69&gt;=K69,"مكتمل",IF(L69=0,"لا يوجد","عجز")))</f>
        <v/>
      </c>
      <c r="P69" s="38">
        <f>IF(CAP&lt;=$D$4,D69*CAP/$D$4,IF(CAP&gt;=$J$4,J69*CAP/$J$4,INDEX($D69:$J69,$D$3)+$E$3*(INDEX($D69:$J69,$D$3+1)-INDEX($D69:$J69,$D$3))))</f>
        <v/>
      </c>
      <c r="Q69" s="39" t="inlineStr">
        <is>
          <t>إيضاح 20: يعتمد معيار العظام إذا كان المستشفى مرجعياً</t>
        </is>
      </c>
    </row>
    <row r="70">
      <c r="A70" s="30" t="n">
        <v>66</v>
      </c>
      <c r="B70" s="31" t="inlineStr">
        <is>
          <t>طبيب</t>
        </is>
      </c>
      <c r="C70" s="5" t="inlineStr">
        <is>
          <t>أخصائي عظام</t>
        </is>
      </c>
      <c r="D70" s="32" t="n">
        <v>2</v>
      </c>
      <c r="E70" s="32" t="n">
        <v>4</v>
      </c>
      <c r="F70" s="32" t="n">
        <v>4</v>
      </c>
      <c r="G70" s="32" t="n">
        <v>5</v>
      </c>
      <c r="H70" s="32" t="n">
        <v>5</v>
      </c>
      <c r="I70" s="32" t="n">
        <v>8</v>
      </c>
      <c r="J70" s="32" t="n">
        <v>8</v>
      </c>
      <c r="K70" s="33">
        <f>IF(RMODE="تقريب لأعلى",ROUNDUP(P70,0),ROUND(P70,0))</f>
        <v/>
      </c>
      <c r="L70" s="34" t="n"/>
      <c r="M70" s="35">
        <f>L70-K70</f>
        <v/>
      </c>
      <c r="N70" s="36">
        <f>IF(K70=0,"",L70/K70)</f>
        <v/>
      </c>
      <c r="O70" s="37">
        <f>IF(K70=0,"لا ينطبق",IF(L70&gt;=K70,"مكتمل",IF(L70=0,"لا يوجد","عجز")))</f>
        <v/>
      </c>
      <c r="P70" s="38">
        <f>IF(CAP&lt;=$D$4,D70*CAP/$D$4,IF(CAP&gt;=$J$4,J70*CAP/$J$4,INDEX($D70:$J70,$D$3)+$E$3*(INDEX($D70:$J70,$D$3+1)-INDEX($D70:$J70,$D$3))))</f>
        <v/>
      </c>
      <c r="Q70" s="39" t="inlineStr">
        <is>
          <t>إيضاح 20</t>
        </is>
      </c>
    </row>
    <row r="71">
      <c r="A71" s="30" t="n">
        <v>67</v>
      </c>
      <c r="B71" s="31" t="inlineStr">
        <is>
          <t>طبيب</t>
        </is>
      </c>
      <c r="C71" s="5" t="inlineStr">
        <is>
          <t>مقيم عظام</t>
        </is>
      </c>
      <c r="D71" s="32" t="n">
        <v>0</v>
      </c>
      <c r="E71" s="32" t="n">
        <v>4</v>
      </c>
      <c r="F71" s="32" t="n">
        <v>4</v>
      </c>
      <c r="G71" s="32" t="n">
        <v>5</v>
      </c>
      <c r="H71" s="32" t="n">
        <v>5</v>
      </c>
      <c r="I71" s="32" t="n">
        <v>6</v>
      </c>
      <c r="J71" s="32" t="n">
        <v>6</v>
      </c>
      <c r="K71" s="33">
        <f>IF(RMODE="تقريب لأعلى",ROUNDUP(P71,0),ROUND(P71,0))</f>
        <v/>
      </c>
      <c r="L71" s="34" t="n"/>
      <c r="M71" s="35">
        <f>L71-K71</f>
        <v/>
      </c>
      <c r="N71" s="36">
        <f>IF(K71=0,"",L71/K71)</f>
        <v/>
      </c>
      <c r="O71" s="37">
        <f>IF(K71=0,"لا ينطبق",IF(L71&gt;=K71,"مكتمل",IF(L71=0,"لا يوجد","عجز")))</f>
        <v/>
      </c>
      <c r="P71" s="38">
        <f>IF(CAP&lt;=$D$4,D71*CAP/$D$4,IF(CAP&gt;=$J$4,J71*CAP/$J$4,INDEX($D71:$J71,$D$3)+$E$3*(INDEX($D71:$J71,$D$3+1)-INDEX($D71:$J71,$D$3))))</f>
        <v/>
      </c>
      <c r="Q71" s="39" t="inlineStr">
        <is>
          <t>إيضاح 20</t>
        </is>
      </c>
    </row>
    <row r="72">
      <c r="A72" s="30" t="n">
        <v>68</v>
      </c>
      <c r="B72" s="31" t="inlineStr">
        <is>
          <t>طبيب</t>
        </is>
      </c>
      <c r="C72" s="5" t="inlineStr">
        <is>
          <t>استشاري عيون</t>
        </is>
      </c>
      <c r="D72" s="32" t="n">
        <v>0</v>
      </c>
      <c r="E72" s="32" t="n">
        <v>1</v>
      </c>
      <c r="F72" s="32" t="n">
        <v>1</v>
      </c>
      <c r="G72" s="32" t="n">
        <v>2</v>
      </c>
      <c r="H72" s="32" t="n">
        <v>4</v>
      </c>
      <c r="I72" s="32" t="n">
        <v>5</v>
      </c>
      <c r="J72" s="32" t="n">
        <v>5</v>
      </c>
      <c r="K72" s="33">
        <f>IF(RMODE="تقريب لأعلى",ROUNDUP(P72,0),ROUND(P72,0))</f>
        <v/>
      </c>
      <c r="L72" s="34" t="n"/>
      <c r="M72" s="35">
        <f>L72-K72</f>
        <v/>
      </c>
      <c r="N72" s="36">
        <f>IF(K72=0,"",L72/K72)</f>
        <v/>
      </c>
      <c r="O72" s="37">
        <f>IF(K72=0,"لا ينطبق",IF(L72&gt;=K72,"مكتمل",IF(L72=0,"لا يوجد","عجز")))</f>
        <v/>
      </c>
      <c r="P72" s="38">
        <f>IF(CAP&lt;=$D$4,D72*CAP/$D$4,IF(CAP&gt;=$J$4,J72*CAP/$J$4,INDEX($D72:$J72,$D$3)+$E$3*(INDEX($D72:$J72,$D$3+1)-INDEX($D72:$J72,$D$3))))</f>
        <v/>
      </c>
      <c r="Q72" s="39" t="inlineStr"/>
    </row>
    <row r="73">
      <c r="A73" s="30" t="n">
        <v>69</v>
      </c>
      <c r="B73" s="31" t="inlineStr">
        <is>
          <t>طبيب</t>
        </is>
      </c>
      <c r="C73" s="5" t="inlineStr">
        <is>
          <t>أخصائي عيون</t>
        </is>
      </c>
      <c r="D73" s="32" t="n">
        <v>1</v>
      </c>
      <c r="E73" s="32" t="n">
        <v>1</v>
      </c>
      <c r="F73" s="32" t="n">
        <v>2</v>
      </c>
      <c r="G73" s="32" t="n">
        <v>3</v>
      </c>
      <c r="H73" s="32" t="n">
        <v>3</v>
      </c>
      <c r="I73" s="32" t="n">
        <v>4</v>
      </c>
      <c r="J73" s="32" t="n">
        <v>4</v>
      </c>
      <c r="K73" s="33">
        <f>IF(RMODE="تقريب لأعلى",ROUNDUP(P73,0),ROUND(P73,0))</f>
        <v/>
      </c>
      <c r="L73" s="34" t="n"/>
      <c r="M73" s="35">
        <f>L73-K73</f>
        <v/>
      </c>
      <c r="N73" s="36">
        <f>IF(K73=0,"",L73/K73)</f>
        <v/>
      </c>
      <c r="O73" s="37">
        <f>IF(K73=0,"لا ينطبق",IF(L73&gt;=K73,"مكتمل",IF(L73=0,"لا يوجد","عجز")))</f>
        <v/>
      </c>
      <c r="P73" s="38">
        <f>IF(CAP&lt;=$D$4,D73*CAP/$D$4,IF(CAP&gt;=$J$4,J73*CAP/$J$4,INDEX($D73:$J73,$D$3)+$E$3*(INDEX($D73:$J73,$D$3+1)-INDEX($D73:$J73,$D$3))))</f>
        <v/>
      </c>
      <c r="Q73" s="39" t="inlineStr"/>
    </row>
    <row r="74">
      <c r="A74" s="30" t="n">
        <v>70</v>
      </c>
      <c r="B74" s="31" t="inlineStr">
        <is>
          <t>طبيب</t>
        </is>
      </c>
      <c r="C74" s="5" t="inlineStr">
        <is>
          <t>مقيم عيون</t>
        </is>
      </c>
      <c r="D74" s="32" t="n">
        <v>1</v>
      </c>
      <c r="E74" s="32" t="n">
        <v>1</v>
      </c>
      <c r="F74" s="32" t="n">
        <v>2</v>
      </c>
      <c r="G74" s="32" t="n">
        <v>3</v>
      </c>
      <c r="H74" s="32" t="n">
        <v>4</v>
      </c>
      <c r="I74" s="32" t="n">
        <v>4</v>
      </c>
      <c r="J74" s="32" t="n">
        <v>4</v>
      </c>
      <c r="K74" s="33">
        <f>IF(RMODE="تقريب لأعلى",ROUNDUP(P74,0),ROUND(P74,0))</f>
        <v/>
      </c>
      <c r="L74" s="34" t="n"/>
      <c r="M74" s="35">
        <f>L74-K74</f>
        <v/>
      </c>
      <c r="N74" s="36">
        <f>IF(K74=0,"",L74/K74)</f>
        <v/>
      </c>
      <c r="O74" s="37">
        <f>IF(K74=0,"لا ينطبق",IF(L74&gt;=K74,"مكتمل",IF(L74=0,"لا يوجد","عجز")))</f>
        <v/>
      </c>
      <c r="P74" s="38">
        <f>IF(CAP&lt;=$D$4,D74*CAP/$D$4,IF(CAP&gt;=$J$4,J74*CAP/$J$4,INDEX($D74:$J74,$D$3)+$E$3*(INDEX($D74:$J74,$D$3+1)-INDEX($D74:$J74,$D$3))))</f>
        <v/>
      </c>
      <c r="Q74" s="39" t="inlineStr"/>
    </row>
    <row r="75">
      <c r="A75" s="30" t="n">
        <v>71</v>
      </c>
      <c r="B75" s="31" t="inlineStr">
        <is>
          <t>طبيب</t>
        </is>
      </c>
      <c r="C75" s="5" t="inlineStr">
        <is>
          <t>استشاري أنف وأذن وحنجرة</t>
        </is>
      </c>
      <c r="D75" s="32" t="n">
        <v>0</v>
      </c>
      <c r="E75" s="32" t="n">
        <v>1</v>
      </c>
      <c r="F75" s="32" t="n">
        <v>1</v>
      </c>
      <c r="G75" s="32" t="n">
        <v>2</v>
      </c>
      <c r="H75" s="32" t="n">
        <v>3</v>
      </c>
      <c r="I75" s="32" t="n">
        <v>4</v>
      </c>
      <c r="J75" s="32" t="n">
        <v>6</v>
      </c>
      <c r="K75" s="33">
        <f>IF(RMODE="تقريب لأعلى",ROUNDUP(P75,0),ROUND(P75,0))</f>
        <v/>
      </c>
      <c r="L75" s="34" t="n"/>
      <c r="M75" s="35">
        <f>L75-K75</f>
        <v/>
      </c>
      <c r="N75" s="36">
        <f>IF(K75=0,"",L75/K75)</f>
        <v/>
      </c>
      <c r="O75" s="37">
        <f>IF(K75=0,"لا ينطبق",IF(L75&gt;=K75,"مكتمل",IF(L75=0,"لا يوجد","عجز")))</f>
        <v/>
      </c>
      <c r="P75" s="38">
        <f>IF(CAP&lt;=$D$4,D75*CAP/$D$4,IF(CAP&gt;=$J$4,J75*CAP/$J$4,INDEX($D75:$J75,$D$3)+$E$3*(INDEX($D75:$J75,$D$3+1)-INDEX($D75:$J75,$D$3))))</f>
        <v/>
      </c>
      <c r="Q75" s="39" t="inlineStr"/>
    </row>
    <row r="76">
      <c r="A76" s="30" t="n">
        <v>72</v>
      </c>
      <c r="B76" s="31" t="inlineStr">
        <is>
          <t>طبيب</t>
        </is>
      </c>
      <c r="C76" s="5" t="inlineStr">
        <is>
          <t>أخصائي أنف وأذن وحنجرة</t>
        </is>
      </c>
      <c r="D76" s="32" t="n">
        <v>1</v>
      </c>
      <c r="E76" s="32" t="n">
        <v>2</v>
      </c>
      <c r="F76" s="32" t="n">
        <v>2</v>
      </c>
      <c r="G76" s="32" t="n">
        <v>2</v>
      </c>
      <c r="H76" s="32" t="n">
        <v>3</v>
      </c>
      <c r="I76" s="32" t="n">
        <v>3</v>
      </c>
      <c r="J76" s="32" t="n">
        <v>4</v>
      </c>
      <c r="K76" s="33">
        <f>IF(RMODE="تقريب لأعلى",ROUNDUP(P76,0),ROUND(P76,0))</f>
        <v/>
      </c>
      <c r="L76" s="34" t="n"/>
      <c r="M76" s="35">
        <f>L76-K76</f>
        <v/>
      </c>
      <c r="N76" s="36">
        <f>IF(K76=0,"",L76/K76)</f>
        <v/>
      </c>
      <c r="O76" s="37">
        <f>IF(K76=0,"لا ينطبق",IF(L76&gt;=K76,"مكتمل",IF(L76=0,"لا يوجد","عجز")))</f>
        <v/>
      </c>
      <c r="P76" s="38">
        <f>IF(CAP&lt;=$D$4,D76*CAP/$D$4,IF(CAP&gt;=$J$4,J76*CAP/$J$4,INDEX($D76:$J76,$D$3)+$E$3*(INDEX($D76:$J76,$D$3+1)-INDEX($D76:$J76,$D$3))))</f>
        <v/>
      </c>
      <c r="Q76" s="39" t="inlineStr"/>
    </row>
    <row r="77">
      <c r="A77" s="30" t="n">
        <v>73</v>
      </c>
      <c r="B77" s="31" t="inlineStr">
        <is>
          <t>طبيب</t>
        </is>
      </c>
      <c r="C77" s="5" t="inlineStr">
        <is>
          <t>مقيم أنف وأذن وحنجرة</t>
        </is>
      </c>
      <c r="D77" s="32" t="n">
        <v>0</v>
      </c>
      <c r="E77" s="32" t="n">
        <v>0</v>
      </c>
      <c r="F77" s="32" t="n">
        <v>0</v>
      </c>
      <c r="G77" s="32" t="n">
        <v>0</v>
      </c>
      <c r="H77" s="32" t="n">
        <v>3</v>
      </c>
      <c r="I77" s="32" t="n">
        <v>3</v>
      </c>
      <c r="J77" s="32" t="n">
        <v>5</v>
      </c>
      <c r="K77" s="33">
        <f>IF(RMODE="تقريب لأعلى",ROUNDUP(P77,0),ROUND(P77,0))</f>
        <v/>
      </c>
      <c r="L77" s="34" t="n"/>
      <c r="M77" s="35">
        <f>L77-K77</f>
        <v/>
      </c>
      <c r="N77" s="36">
        <f>IF(K77=0,"",L77/K77)</f>
        <v/>
      </c>
      <c r="O77" s="37">
        <f>IF(K77=0,"لا ينطبق",IF(L77&gt;=K77,"مكتمل",IF(L77=0,"لا يوجد","عجز")))</f>
        <v/>
      </c>
      <c r="P77" s="38">
        <f>IF(CAP&lt;=$D$4,D77*CAP/$D$4,IF(CAP&gt;=$J$4,J77*CAP/$J$4,INDEX($D77:$J77,$D$3)+$E$3*(INDEX($D77:$J77,$D$3+1)-INDEX($D77:$J77,$D$3))))</f>
        <v/>
      </c>
      <c r="Q77" s="39" t="inlineStr"/>
    </row>
    <row r="78">
      <c r="A78" s="30" t="n">
        <v>74</v>
      </c>
      <c r="B78" s="31" t="inlineStr">
        <is>
          <t>طبيب</t>
        </is>
      </c>
      <c r="C78" s="5" t="inlineStr">
        <is>
          <t>استشاري سمعيات</t>
        </is>
      </c>
      <c r="D78" s="32" t="n">
        <v>0</v>
      </c>
      <c r="E78" s="32" t="n">
        <v>0</v>
      </c>
      <c r="F78" s="32" t="n">
        <v>1</v>
      </c>
      <c r="G78" s="32" t="n">
        <v>2</v>
      </c>
      <c r="H78" s="32" t="n">
        <v>2</v>
      </c>
      <c r="I78" s="32" t="n">
        <v>3</v>
      </c>
      <c r="J78" s="32" t="n">
        <v>3</v>
      </c>
      <c r="K78" s="33">
        <f>IF(RMODE="تقريب لأعلى",ROUNDUP(P78,0),ROUND(P78,0))</f>
        <v/>
      </c>
      <c r="L78" s="34" t="n"/>
      <c r="M78" s="35">
        <f>L78-K78</f>
        <v/>
      </c>
      <c r="N78" s="36">
        <f>IF(K78=0,"",L78/K78)</f>
        <v/>
      </c>
      <c r="O78" s="37">
        <f>IF(K78=0,"لا ينطبق",IF(L78&gt;=K78,"مكتمل",IF(L78=0,"لا يوجد","عجز")))</f>
        <v/>
      </c>
      <c r="P78" s="38">
        <f>IF(CAP&lt;=$D$4,D78*CAP/$D$4,IF(CAP&gt;=$J$4,J78*CAP/$J$4,INDEX($D78:$J78,$D$3)+$E$3*(INDEX($D78:$J78,$D$3+1)-INDEX($D78:$J78,$D$3))))</f>
        <v/>
      </c>
      <c r="Q78" s="39" t="inlineStr"/>
    </row>
    <row r="79">
      <c r="A79" s="30" t="n">
        <v>75</v>
      </c>
      <c r="B79" s="31" t="inlineStr">
        <is>
          <t>طبيب</t>
        </is>
      </c>
      <c r="C79" s="5" t="inlineStr">
        <is>
          <t>أخصائي سمعيات</t>
        </is>
      </c>
      <c r="D79" s="32" t="n">
        <v>0</v>
      </c>
      <c r="E79" s="32" t="n">
        <v>1</v>
      </c>
      <c r="F79" s="32" t="n">
        <v>1</v>
      </c>
      <c r="G79" s="32" t="n">
        <v>2</v>
      </c>
      <c r="H79" s="32" t="n">
        <v>3</v>
      </c>
      <c r="I79" s="32" t="n">
        <v>3</v>
      </c>
      <c r="J79" s="32" t="n">
        <v>4</v>
      </c>
      <c r="K79" s="33">
        <f>IF(RMODE="تقريب لأعلى",ROUNDUP(P79,0),ROUND(P79,0))</f>
        <v/>
      </c>
      <c r="L79" s="34" t="n"/>
      <c r="M79" s="35">
        <f>L79-K79</f>
        <v/>
      </c>
      <c r="N79" s="36">
        <f>IF(K79=0,"",L79/K79)</f>
        <v/>
      </c>
      <c r="O79" s="37">
        <f>IF(K79=0,"لا ينطبق",IF(L79&gt;=K79,"مكتمل",IF(L79=0,"لا يوجد","عجز")))</f>
        <v/>
      </c>
      <c r="P79" s="38">
        <f>IF(CAP&lt;=$D$4,D79*CAP/$D$4,IF(CAP&gt;=$J$4,J79*CAP/$J$4,INDEX($D79:$J79,$D$3)+$E$3*(INDEX($D79:$J79,$D$3+1)-INDEX($D79:$J79,$D$3))))</f>
        <v/>
      </c>
      <c r="Q79" s="39" t="inlineStr"/>
    </row>
    <row r="80">
      <c r="A80" s="30" t="n">
        <v>76</v>
      </c>
      <c r="B80" s="31" t="inlineStr">
        <is>
          <t>طبيب</t>
        </is>
      </c>
      <c r="C80" s="5" t="inlineStr">
        <is>
          <t>استشاري زراعة القوقعة</t>
        </is>
      </c>
      <c r="D80" s="32" t="n">
        <v>0</v>
      </c>
      <c r="E80" s="32" t="n">
        <v>0</v>
      </c>
      <c r="F80" s="32" t="n">
        <v>0</v>
      </c>
      <c r="G80" s="32" t="n">
        <v>0</v>
      </c>
      <c r="H80" s="32" t="n">
        <v>1</v>
      </c>
      <c r="I80" s="32" t="n">
        <v>1</v>
      </c>
      <c r="J80" s="32" t="n">
        <v>2</v>
      </c>
      <c r="K80" s="33">
        <f>IF(RMODE="تقريب لأعلى",ROUNDUP(P80,0),ROUND(P80,0))</f>
        <v/>
      </c>
      <c r="L80" s="34" t="n"/>
      <c r="M80" s="35">
        <f>L80-K80</f>
        <v/>
      </c>
      <c r="N80" s="36">
        <f>IF(K80=0,"",L80/K80)</f>
        <v/>
      </c>
      <c r="O80" s="37">
        <f>IF(K80=0,"لا ينطبق",IF(L80&gt;=K80,"مكتمل",IF(L80=0,"لا يوجد","عجز")))</f>
        <v/>
      </c>
      <c r="P80" s="38">
        <f>IF(CAP&lt;=$D$4,D80*CAP/$D$4,IF(CAP&gt;=$J$4,J80*CAP/$J$4,INDEX($D80:$J80,$D$3)+$E$3*(INDEX($D80:$J80,$D$3+1)-INDEX($D80:$J80,$D$3))))</f>
        <v/>
      </c>
      <c r="Q80" s="39" t="inlineStr">
        <is>
          <t>إيضاح 38: يطبق في حال اعتماد مركز متخصص لزراعة القوقعة</t>
        </is>
      </c>
    </row>
    <row r="81">
      <c r="A81" s="30" t="n">
        <v>77</v>
      </c>
      <c r="B81" s="31" t="inlineStr">
        <is>
          <t>طبيب</t>
        </is>
      </c>
      <c r="C81" s="5" t="inlineStr">
        <is>
          <t>استشاري أمراض تخاطب</t>
        </is>
      </c>
      <c r="D81" s="32" t="n">
        <v>0</v>
      </c>
      <c r="E81" s="32" t="n">
        <v>0</v>
      </c>
      <c r="F81" s="32" t="n">
        <v>1</v>
      </c>
      <c r="G81" s="32" t="n">
        <v>1</v>
      </c>
      <c r="H81" s="32" t="n">
        <v>2</v>
      </c>
      <c r="I81" s="32" t="n">
        <v>2</v>
      </c>
      <c r="J81" s="32" t="n">
        <v>3</v>
      </c>
      <c r="K81" s="33">
        <f>IF(RMODE="تقريب لأعلى",ROUNDUP(P81,0),ROUND(P81,0))</f>
        <v/>
      </c>
      <c r="L81" s="34" t="n"/>
      <c r="M81" s="35">
        <f>L81-K81</f>
        <v/>
      </c>
      <c r="N81" s="36">
        <f>IF(K81=0,"",L81/K81)</f>
        <v/>
      </c>
      <c r="O81" s="37">
        <f>IF(K81=0,"لا ينطبق",IF(L81&gt;=K81,"مكتمل",IF(L81=0,"لا يوجد","عجز")))</f>
        <v/>
      </c>
      <c r="P81" s="38">
        <f>IF(CAP&lt;=$D$4,D81*CAP/$D$4,IF(CAP&gt;=$J$4,J81*CAP/$J$4,INDEX($D81:$J81,$D$3)+$E$3*(INDEX($D81:$J81,$D$3+1)-INDEX($D81:$J81,$D$3))))</f>
        <v/>
      </c>
      <c r="Q81" s="39" t="inlineStr"/>
    </row>
    <row r="82">
      <c r="A82" s="30" t="n">
        <v>78</v>
      </c>
      <c r="B82" s="31" t="inlineStr">
        <is>
          <t>طبيب</t>
        </is>
      </c>
      <c r="C82" s="5" t="inlineStr">
        <is>
          <t>أخصائي أمراض تخاطب</t>
        </is>
      </c>
      <c r="D82" s="32" t="n">
        <v>0</v>
      </c>
      <c r="E82" s="32" t="n">
        <v>0</v>
      </c>
      <c r="F82" s="32" t="n">
        <v>2</v>
      </c>
      <c r="G82" s="32" t="n">
        <v>2</v>
      </c>
      <c r="H82" s="32" t="n">
        <v>3</v>
      </c>
      <c r="I82" s="32" t="n">
        <v>3</v>
      </c>
      <c r="J82" s="32" t="n">
        <v>4</v>
      </c>
      <c r="K82" s="33">
        <f>IF(RMODE="تقريب لأعلى",ROUNDUP(P82,0),ROUND(P82,0))</f>
        <v/>
      </c>
      <c r="L82" s="34" t="n"/>
      <c r="M82" s="35">
        <f>L82-K82</f>
        <v/>
      </c>
      <c r="N82" s="36">
        <f>IF(K82=0,"",L82/K82)</f>
        <v/>
      </c>
      <c r="O82" s="37">
        <f>IF(K82=0,"لا ينطبق",IF(L82&gt;=K82,"مكتمل",IF(L82=0,"لا يوجد","عجز")))</f>
        <v/>
      </c>
      <c r="P82" s="38">
        <f>IF(CAP&lt;=$D$4,D82*CAP/$D$4,IF(CAP&gt;=$J$4,J82*CAP/$J$4,INDEX($D82:$J82,$D$3)+$E$3*(INDEX($D82:$J82,$D$3+1)-INDEX($D82:$J82,$D$3))))</f>
        <v/>
      </c>
      <c r="Q82" s="39" t="inlineStr"/>
    </row>
    <row r="83">
      <c r="A83" s="30" t="n">
        <v>79</v>
      </c>
      <c r="B83" s="31" t="inlineStr">
        <is>
          <t>طبيب</t>
        </is>
      </c>
      <c r="C83" s="5" t="inlineStr">
        <is>
          <t>استشاري جراحة مخ وأعصاب</t>
        </is>
      </c>
      <c r="D83" s="32" t="n">
        <v>0</v>
      </c>
      <c r="E83" s="32" t="n">
        <v>1</v>
      </c>
      <c r="F83" s="32" t="n">
        <v>1</v>
      </c>
      <c r="G83" s="32" t="n">
        <v>2</v>
      </c>
      <c r="H83" s="32" t="n">
        <v>3</v>
      </c>
      <c r="I83" s="32" t="n">
        <v>3</v>
      </c>
      <c r="J83" s="32" t="n">
        <v>4</v>
      </c>
      <c r="K83" s="33">
        <f>IF(RMODE="تقريب لأعلى",ROUNDUP(P83,0),ROUND(P83,0))</f>
        <v/>
      </c>
      <c r="L83" s="34" t="n"/>
      <c r="M83" s="35">
        <f>L83-K83</f>
        <v/>
      </c>
      <c r="N83" s="36">
        <f>IF(K83=0,"",L83/K83)</f>
        <v/>
      </c>
      <c r="O83" s="37">
        <f>IF(K83=0,"لا ينطبق",IF(L83&gt;=K83,"مكتمل",IF(L83=0,"لا يوجد","عجز")))</f>
        <v/>
      </c>
      <c r="P83" s="38">
        <f>IF(CAP&lt;=$D$4,D83*CAP/$D$4,IF(CAP&gt;=$J$4,J83*CAP/$J$4,INDEX($D83:$J83,$D$3)+$E$3*(INDEX($D83:$J83,$D$3+1)-INDEX($D83:$J83,$D$3))))</f>
        <v/>
      </c>
      <c r="Q83" s="39" t="inlineStr"/>
    </row>
    <row r="84">
      <c r="A84" s="30" t="n">
        <v>80</v>
      </c>
      <c r="B84" s="31" t="inlineStr">
        <is>
          <t>طبيب</t>
        </is>
      </c>
      <c r="C84" s="5" t="inlineStr">
        <is>
          <t>أخصائي جراحة مخ وأعصاب</t>
        </is>
      </c>
      <c r="D84" s="32" t="n">
        <v>0</v>
      </c>
      <c r="E84" s="32" t="n">
        <v>1</v>
      </c>
      <c r="F84" s="32" t="n">
        <v>1</v>
      </c>
      <c r="G84" s="32" t="n">
        <v>2</v>
      </c>
      <c r="H84" s="32" t="n">
        <v>3</v>
      </c>
      <c r="I84" s="32" t="n">
        <v>3</v>
      </c>
      <c r="J84" s="32" t="n">
        <v>3</v>
      </c>
      <c r="K84" s="33">
        <f>IF(RMODE="تقريب لأعلى",ROUNDUP(P84,0),ROUND(P84,0))</f>
        <v/>
      </c>
      <c r="L84" s="34" t="n"/>
      <c r="M84" s="35">
        <f>L84-K84</f>
        <v/>
      </c>
      <c r="N84" s="36">
        <f>IF(K84=0,"",L84/K84)</f>
        <v/>
      </c>
      <c r="O84" s="37">
        <f>IF(K84=0,"لا ينطبق",IF(L84&gt;=K84,"مكتمل",IF(L84=0,"لا يوجد","عجز")))</f>
        <v/>
      </c>
      <c r="P84" s="38">
        <f>IF(CAP&lt;=$D$4,D84*CAP/$D$4,IF(CAP&gt;=$J$4,J84*CAP/$J$4,INDEX($D84:$J84,$D$3)+$E$3*(INDEX($D84:$J84,$D$3+1)-INDEX($D84:$J84,$D$3))))</f>
        <v/>
      </c>
      <c r="Q84" s="39" t="inlineStr"/>
    </row>
    <row r="85">
      <c r="A85" s="30" t="n">
        <v>81</v>
      </c>
      <c r="B85" s="31" t="inlineStr">
        <is>
          <t>طبيب</t>
        </is>
      </c>
      <c r="C85" s="5" t="inlineStr">
        <is>
          <t>مقيم جراحة مخ وأعصاب</t>
        </is>
      </c>
      <c r="D85" s="32" t="n">
        <v>0</v>
      </c>
      <c r="E85" s="32" t="n">
        <v>0</v>
      </c>
      <c r="F85" s="32" t="n">
        <v>0</v>
      </c>
      <c r="G85" s="32" t="n">
        <v>0</v>
      </c>
      <c r="H85" s="32" t="n">
        <v>0</v>
      </c>
      <c r="I85" s="32" t="n">
        <v>3</v>
      </c>
      <c r="J85" s="32" t="n">
        <v>4</v>
      </c>
      <c r="K85" s="33">
        <f>IF(RMODE="تقريب لأعلى",ROUNDUP(P85,0),ROUND(P85,0))</f>
        <v/>
      </c>
      <c r="L85" s="34" t="n"/>
      <c r="M85" s="35">
        <f>L85-K85</f>
        <v/>
      </c>
      <c r="N85" s="36">
        <f>IF(K85=0,"",L85/K85)</f>
        <v/>
      </c>
      <c r="O85" s="37">
        <f>IF(K85=0,"لا ينطبق",IF(L85&gt;=K85,"مكتمل",IF(L85=0,"لا يوجد","عجز")))</f>
        <v/>
      </c>
      <c r="P85" s="38">
        <f>IF(CAP&lt;=$D$4,D85*CAP/$D$4,IF(CAP&gt;=$J$4,J85*CAP/$J$4,INDEX($D85:$J85,$D$3)+$E$3*(INDEX($D85:$J85,$D$3+1)-INDEX($D85:$J85,$D$3))))</f>
        <v/>
      </c>
      <c r="Q85" s="39" t="inlineStr"/>
    </row>
    <row r="86">
      <c r="A86" s="30" t="n">
        <v>82</v>
      </c>
      <c r="B86" s="31" t="inlineStr">
        <is>
          <t>طبيب</t>
        </is>
      </c>
      <c r="C86" s="5" t="inlineStr">
        <is>
          <t>استشاري جراحة عمود فقري</t>
        </is>
      </c>
      <c r="D86" s="32" t="n">
        <v>0</v>
      </c>
      <c r="E86" s="32" t="n">
        <v>0</v>
      </c>
      <c r="F86" s="32" t="n">
        <v>0</v>
      </c>
      <c r="G86" s="32" t="n">
        <v>0</v>
      </c>
      <c r="H86" s="32" t="n">
        <v>2</v>
      </c>
      <c r="I86" s="32" t="n">
        <v>2</v>
      </c>
      <c r="J86" s="32" t="n">
        <v>3</v>
      </c>
      <c r="K86" s="33">
        <f>IF(RMODE="تقريب لأعلى",ROUNDUP(P86,0),ROUND(P86,0))</f>
        <v/>
      </c>
      <c r="L86" s="34" t="n"/>
      <c r="M86" s="35">
        <f>L86-K86</f>
        <v/>
      </c>
      <c r="N86" s="36">
        <f>IF(K86=0,"",L86/K86)</f>
        <v/>
      </c>
      <c r="O86" s="37">
        <f>IF(K86=0,"لا ينطبق",IF(L86&gt;=K86,"مكتمل",IF(L86=0,"لا يوجد","عجز")))</f>
        <v/>
      </c>
      <c r="P86" s="38">
        <f>IF(CAP&lt;=$D$4,D86*CAP/$D$4,IF(CAP&gt;=$J$4,J86*CAP/$J$4,INDEX($D86:$J86,$D$3)+$E$3*(INDEX($D86:$J86,$D$3+1)-INDEX($D86:$J86,$D$3))))</f>
        <v/>
      </c>
      <c r="Q86" s="39" t="inlineStr"/>
    </row>
    <row r="87">
      <c r="A87" s="30" t="n">
        <v>83</v>
      </c>
      <c r="B87" s="31" t="inlineStr">
        <is>
          <t>طبيب</t>
        </is>
      </c>
      <c r="C87" s="5" t="inlineStr">
        <is>
          <t>أخصائي جراحة عمود فقري</t>
        </is>
      </c>
      <c r="D87" s="32" t="n">
        <v>0</v>
      </c>
      <c r="E87" s="32" t="n">
        <v>0</v>
      </c>
      <c r="F87" s="32" t="n">
        <v>0</v>
      </c>
      <c r="G87" s="32" t="n">
        <v>0</v>
      </c>
      <c r="H87" s="32" t="n">
        <v>1</v>
      </c>
      <c r="I87" s="32" t="n">
        <v>2</v>
      </c>
      <c r="J87" s="32" t="n">
        <v>3</v>
      </c>
      <c r="K87" s="33">
        <f>IF(RMODE="تقريب لأعلى",ROUNDUP(P87,0),ROUND(P87,0))</f>
        <v/>
      </c>
      <c r="L87" s="34" t="n"/>
      <c r="M87" s="35">
        <f>L87-K87</f>
        <v/>
      </c>
      <c r="N87" s="36">
        <f>IF(K87=0,"",L87/K87)</f>
        <v/>
      </c>
      <c r="O87" s="37">
        <f>IF(K87=0,"لا ينطبق",IF(L87&gt;=K87,"مكتمل",IF(L87=0,"لا يوجد","عجز")))</f>
        <v/>
      </c>
      <c r="P87" s="38">
        <f>IF(CAP&lt;=$D$4,D87*CAP/$D$4,IF(CAP&gt;=$J$4,J87*CAP/$J$4,INDEX($D87:$J87,$D$3)+$E$3*(INDEX($D87:$J87,$D$3+1)-INDEX($D87:$J87,$D$3))))</f>
        <v/>
      </c>
      <c r="Q87" s="39" t="inlineStr"/>
    </row>
    <row r="88">
      <c r="A88" s="30" t="n">
        <v>84</v>
      </c>
      <c r="B88" s="31" t="inlineStr">
        <is>
          <t>طبيب</t>
        </is>
      </c>
      <c r="C88" s="5" t="inlineStr">
        <is>
          <t>استشاري جراحة صدر</t>
        </is>
      </c>
      <c r="D88" s="32" t="n">
        <v>0</v>
      </c>
      <c r="E88" s="32" t="n">
        <v>0</v>
      </c>
      <c r="F88" s="32" t="n">
        <v>0</v>
      </c>
      <c r="G88" s="32" t="n">
        <v>0</v>
      </c>
      <c r="H88" s="32" t="n">
        <v>2</v>
      </c>
      <c r="I88" s="32" t="n">
        <v>3</v>
      </c>
      <c r="J88" s="32" t="n">
        <v>3</v>
      </c>
      <c r="K88" s="33">
        <f>IF(RMODE="تقريب لأعلى",ROUNDUP(P88,0),ROUND(P88,0))</f>
        <v/>
      </c>
      <c r="L88" s="34" t="n"/>
      <c r="M88" s="35">
        <f>L88-K88</f>
        <v/>
      </c>
      <c r="N88" s="36">
        <f>IF(K88=0,"",L88/K88)</f>
        <v/>
      </c>
      <c r="O88" s="37">
        <f>IF(K88=0,"لا ينطبق",IF(L88&gt;=K88,"مكتمل",IF(L88=0,"لا يوجد","عجز")))</f>
        <v/>
      </c>
      <c r="P88" s="38">
        <f>IF(CAP&lt;=$D$4,D88*CAP/$D$4,IF(CAP&gt;=$J$4,J88*CAP/$J$4,INDEX($D88:$J88,$D$3)+$E$3*(INDEX($D88:$J88,$D$3+1)-INDEX($D88:$J88,$D$3))))</f>
        <v/>
      </c>
      <c r="Q88" s="39" t="inlineStr"/>
    </row>
    <row r="89">
      <c r="A89" s="30" t="n">
        <v>85</v>
      </c>
      <c r="B89" s="31" t="inlineStr">
        <is>
          <t>طبيب</t>
        </is>
      </c>
      <c r="C89" s="5" t="inlineStr">
        <is>
          <t>أخصائي جراحة صدر</t>
        </is>
      </c>
      <c r="D89" s="32" t="n">
        <v>0</v>
      </c>
      <c r="E89" s="32" t="n">
        <v>0</v>
      </c>
      <c r="F89" s="32" t="n">
        <v>0</v>
      </c>
      <c r="G89" s="32" t="n">
        <v>1</v>
      </c>
      <c r="H89" s="32" t="n">
        <v>2</v>
      </c>
      <c r="I89" s="32" t="n">
        <v>2</v>
      </c>
      <c r="J89" s="32" t="n">
        <v>2</v>
      </c>
      <c r="K89" s="33">
        <f>IF(RMODE="تقريب لأعلى",ROUNDUP(P89,0),ROUND(P89,0))</f>
        <v/>
      </c>
      <c r="L89" s="34" t="n"/>
      <c r="M89" s="35">
        <f>L89-K89</f>
        <v/>
      </c>
      <c r="N89" s="36">
        <f>IF(K89=0,"",L89/K89)</f>
        <v/>
      </c>
      <c r="O89" s="37">
        <f>IF(K89=0,"لا ينطبق",IF(L89&gt;=K89,"مكتمل",IF(L89=0,"لا يوجد","عجز")))</f>
        <v/>
      </c>
      <c r="P89" s="38">
        <f>IF(CAP&lt;=$D$4,D89*CAP/$D$4,IF(CAP&gt;=$J$4,J89*CAP/$J$4,INDEX($D89:$J89,$D$3)+$E$3*(INDEX($D89:$J89,$D$3+1)-INDEX($D89:$J89,$D$3))))</f>
        <v/>
      </c>
      <c r="Q89" s="39" t="inlineStr"/>
    </row>
    <row r="90">
      <c r="A90" s="30" t="n">
        <v>86</v>
      </c>
      <c r="B90" s="31" t="inlineStr">
        <is>
          <t>طبيب</t>
        </is>
      </c>
      <c r="C90" s="5" t="inlineStr">
        <is>
          <t>استشاري جراحة أوعية دموية</t>
        </is>
      </c>
      <c r="D90" s="32" t="n">
        <v>0</v>
      </c>
      <c r="E90" s="32" t="n">
        <v>0</v>
      </c>
      <c r="F90" s="32" t="n">
        <v>0</v>
      </c>
      <c r="G90" s="32" t="n">
        <v>1</v>
      </c>
      <c r="H90" s="32" t="n">
        <v>3</v>
      </c>
      <c r="I90" s="32" t="n">
        <v>3</v>
      </c>
      <c r="J90" s="32" t="n">
        <v>4</v>
      </c>
      <c r="K90" s="33">
        <f>IF(RMODE="تقريب لأعلى",ROUNDUP(P90,0),ROUND(P90,0))</f>
        <v/>
      </c>
      <c r="L90" s="34" t="n"/>
      <c r="M90" s="35">
        <f>L90-K90</f>
        <v/>
      </c>
      <c r="N90" s="36">
        <f>IF(K90=0,"",L90/K90)</f>
        <v/>
      </c>
      <c r="O90" s="37">
        <f>IF(K90=0,"لا ينطبق",IF(L90&gt;=K90,"مكتمل",IF(L90=0,"لا يوجد","عجز")))</f>
        <v/>
      </c>
      <c r="P90" s="38">
        <f>IF(CAP&lt;=$D$4,D90*CAP/$D$4,IF(CAP&gt;=$J$4,J90*CAP/$J$4,INDEX($D90:$J90,$D$3)+$E$3*(INDEX($D90:$J90,$D$3+1)-INDEX($D90:$J90,$D$3))))</f>
        <v/>
      </c>
      <c r="Q90" s="39" t="inlineStr"/>
    </row>
    <row r="91">
      <c r="A91" s="30" t="n">
        <v>87</v>
      </c>
      <c r="B91" s="31" t="inlineStr">
        <is>
          <t>طبيب</t>
        </is>
      </c>
      <c r="C91" s="5" t="inlineStr">
        <is>
          <t>أخصائي جراحة أوعية دموية</t>
        </is>
      </c>
      <c r="D91" s="32" t="n">
        <v>0</v>
      </c>
      <c r="E91" s="32" t="n">
        <v>0</v>
      </c>
      <c r="F91" s="32" t="n">
        <v>1</v>
      </c>
      <c r="G91" s="32" t="n">
        <v>1</v>
      </c>
      <c r="H91" s="32" t="n">
        <v>2</v>
      </c>
      <c r="I91" s="32" t="n">
        <v>2</v>
      </c>
      <c r="J91" s="32" t="n">
        <v>3</v>
      </c>
      <c r="K91" s="33">
        <f>IF(RMODE="تقريب لأعلى",ROUNDUP(P91,0),ROUND(P91,0))</f>
        <v/>
      </c>
      <c r="L91" s="34" t="n"/>
      <c r="M91" s="35">
        <f>L91-K91</f>
        <v/>
      </c>
      <c r="N91" s="36">
        <f>IF(K91=0,"",L91/K91)</f>
        <v/>
      </c>
      <c r="O91" s="37">
        <f>IF(K91=0,"لا ينطبق",IF(L91&gt;=K91,"مكتمل",IF(L91=0,"لا يوجد","عجز")))</f>
        <v/>
      </c>
      <c r="P91" s="38">
        <f>IF(CAP&lt;=$D$4,D91*CAP/$D$4,IF(CAP&gt;=$J$4,J91*CAP/$J$4,INDEX($D91:$J91,$D$3)+$E$3*(INDEX($D91:$J91,$D$3+1)-INDEX($D91:$J91,$D$3))))</f>
        <v/>
      </c>
      <c r="Q91" s="39" t="inlineStr"/>
    </row>
    <row r="92">
      <c r="A92" s="30" t="n">
        <v>88</v>
      </c>
      <c r="B92" s="31" t="inlineStr">
        <is>
          <t>طبيب</t>
        </is>
      </c>
      <c r="C92" s="5" t="inlineStr">
        <is>
          <t>استشاري جراحة تجميل وحروق</t>
        </is>
      </c>
      <c r="D92" s="32" t="n">
        <v>0</v>
      </c>
      <c r="E92" s="32" t="n">
        <v>0</v>
      </c>
      <c r="F92" s="32" t="n">
        <v>0</v>
      </c>
      <c r="G92" s="32" t="n">
        <v>1</v>
      </c>
      <c r="H92" s="32" t="n">
        <v>2</v>
      </c>
      <c r="I92" s="32" t="n">
        <v>3</v>
      </c>
      <c r="J92" s="32" t="n">
        <v>4</v>
      </c>
      <c r="K92" s="33">
        <f>IF(RMODE="تقريب لأعلى",ROUNDUP(P92,0),ROUND(P92,0))</f>
        <v/>
      </c>
      <c r="L92" s="34" t="n"/>
      <c r="M92" s="35">
        <f>L92-K92</f>
        <v/>
      </c>
      <c r="N92" s="36">
        <f>IF(K92=0,"",L92/K92)</f>
        <v/>
      </c>
      <c r="O92" s="37">
        <f>IF(K92=0,"لا ينطبق",IF(L92&gt;=K92,"مكتمل",IF(L92=0,"لا يوجد","عجز")))</f>
        <v/>
      </c>
      <c r="P92" s="38">
        <f>IF(CAP&lt;=$D$4,D92*CAP/$D$4,IF(CAP&gt;=$J$4,J92*CAP/$J$4,INDEX($D92:$J92,$D$3)+$E$3*(INDEX($D92:$J92,$D$3+1)-INDEX($D92:$J92,$D$3))))</f>
        <v/>
      </c>
      <c r="Q92" s="39" t="inlineStr"/>
    </row>
    <row r="93">
      <c r="A93" s="30" t="n">
        <v>89</v>
      </c>
      <c r="B93" s="31" t="inlineStr">
        <is>
          <t>طبيب</t>
        </is>
      </c>
      <c r="C93" s="5" t="inlineStr">
        <is>
          <t>أخصائي جراحة تجميل وحروق</t>
        </is>
      </c>
      <c r="D93" s="32" t="n">
        <v>0</v>
      </c>
      <c r="E93" s="32" t="n">
        <v>0</v>
      </c>
      <c r="F93" s="32" t="n">
        <v>1</v>
      </c>
      <c r="G93" s="32" t="n">
        <v>1</v>
      </c>
      <c r="H93" s="32" t="n">
        <v>2</v>
      </c>
      <c r="I93" s="32" t="n">
        <v>2</v>
      </c>
      <c r="J93" s="32" t="n">
        <v>4</v>
      </c>
      <c r="K93" s="33">
        <f>IF(RMODE="تقريب لأعلى",ROUNDUP(P93,0),ROUND(P93,0))</f>
        <v/>
      </c>
      <c r="L93" s="34" t="n"/>
      <c r="M93" s="35">
        <f>L93-K93</f>
        <v/>
      </c>
      <c r="N93" s="36">
        <f>IF(K93=0,"",L93/K93)</f>
        <v/>
      </c>
      <c r="O93" s="37">
        <f>IF(K93=0,"لا ينطبق",IF(L93&gt;=K93,"مكتمل",IF(L93=0,"لا يوجد","عجز")))</f>
        <v/>
      </c>
      <c r="P93" s="38">
        <f>IF(CAP&lt;=$D$4,D93*CAP/$D$4,IF(CAP&gt;=$J$4,J93*CAP/$J$4,INDEX($D93:$J93,$D$3)+$E$3*(INDEX($D93:$J93,$D$3+1)-INDEX($D93:$J93,$D$3))))</f>
        <v/>
      </c>
      <c r="Q93" s="39" t="inlineStr"/>
    </row>
    <row r="94">
      <c r="A94" s="30" t="n">
        <v>90</v>
      </c>
      <c r="B94" s="31" t="inlineStr">
        <is>
          <t>طبيب</t>
        </is>
      </c>
      <c r="C94" s="5" t="inlineStr">
        <is>
          <t>استشاري طب أمراض السمنة</t>
        </is>
      </c>
      <c r="D94" s="32" t="n">
        <v>0</v>
      </c>
      <c r="E94" s="32" t="n">
        <v>0</v>
      </c>
      <c r="F94" s="32" t="n">
        <v>1</v>
      </c>
      <c r="G94" s="32" t="n">
        <v>1</v>
      </c>
      <c r="H94" s="32" t="n">
        <v>2</v>
      </c>
      <c r="I94" s="32" t="n">
        <v>2</v>
      </c>
      <c r="J94" s="32" t="n">
        <v>3</v>
      </c>
      <c r="K94" s="33">
        <f>IF(RMODE="تقريب لأعلى",ROUNDUP(P94,0),ROUND(P94,0))</f>
        <v/>
      </c>
      <c r="L94" s="34" t="n"/>
      <c r="M94" s="35">
        <f>L94-K94</f>
        <v/>
      </c>
      <c r="N94" s="36">
        <f>IF(K94=0,"",L94/K94)</f>
        <v/>
      </c>
      <c r="O94" s="37">
        <f>IF(K94=0,"لا ينطبق",IF(L94&gt;=K94,"مكتمل",IF(L94=0,"لا يوجد","عجز")))</f>
        <v/>
      </c>
      <c r="P94" s="38">
        <f>IF(CAP&lt;=$D$4,D94*CAP/$D$4,IF(CAP&gt;=$J$4,J94*CAP/$J$4,INDEX($D94:$J94,$D$3)+$E$3*(INDEX($D94:$J94,$D$3+1)-INDEX($D94:$J94,$D$3))))</f>
        <v/>
      </c>
      <c r="Q94" s="39" t="inlineStr"/>
    </row>
    <row r="95">
      <c r="A95" s="30" t="n">
        <v>91</v>
      </c>
      <c r="B95" s="31" t="inlineStr">
        <is>
          <t>طبيب</t>
        </is>
      </c>
      <c r="C95" s="5" t="inlineStr">
        <is>
          <t>استشاري جراحة أطفال</t>
        </is>
      </c>
      <c r="D95" s="32" t="n">
        <v>0</v>
      </c>
      <c r="E95" s="32" t="n">
        <v>0</v>
      </c>
      <c r="F95" s="32" t="n">
        <v>1</v>
      </c>
      <c r="G95" s="32" t="n">
        <v>1</v>
      </c>
      <c r="H95" s="32" t="n">
        <v>2</v>
      </c>
      <c r="I95" s="32" t="n">
        <v>3</v>
      </c>
      <c r="J95" s="32" t="n">
        <v>4</v>
      </c>
      <c r="K95" s="33">
        <f>IF(RMODE="تقريب لأعلى",ROUNDUP(P95,0),ROUND(P95,0))</f>
        <v/>
      </c>
      <c r="L95" s="34" t="n"/>
      <c r="M95" s="35">
        <f>L95-K95</f>
        <v/>
      </c>
      <c r="N95" s="36">
        <f>IF(K95=0,"",L95/K95)</f>
        <v/>
      </c>
      <c r="O95" s="37">
        <f>IF(K95=0,"لا ينطبق",IF(L95&gt;=K95,"مكتمل",IF(L95=0,"لا يوجد","عجز")))</f>
        <v/>
      </c>
      <c r="P95" s="38">
        <f>IF(CAP&lt;=$D$4,D95*CAP/$D$4,IF(CAP&gt;=$J$4,J95*CAP/$J$4,INDEX($D95:$J95,$D$3)+$E$3*(INDEX($D95:$J95,$D$3+1)-INDEX($D95:$J95,$D$3))))</f>
        <v/>
      </c>
      <c r="Q95" s="39" t="inlineStr"/>
    </row>
    <row r="96">
      <c r="A96" s="30" t="n">
        <v>92</v>
      </c>
      <c r="B96" s="31" t="inlineStr">
        <is>
          <t>طبيب</t>
        </is>
      </c>
      <c r="C96" s="5" t="inlineStr">
        <is>
          <t>أخصائي جراحة أطفال</t>
        </is>
      </c>
      <c r="D96" s="32" t="n">
        <v>0</v>
      </c>
      <c r="E96" s="32" t="n">
        <v>0</v>
      </c>
      <c r="F96" s="32" t="n">
        <v>1</v>
      </c>
      <c r="G96" s="32" t="n">
        <v>1</v>
      </c>
      <c r="H96" s="32" t="n">
        <v>2</v>
      </c>
      <c r="I96" s="32" t="n">
        <v>3</v>
      </c>
      <c r="J96" s="32" t="n">
        <v>3</v>
      </c>
      <c r="K96" s="33">
        <f>IF(RMODE="تقريب لأعلى",ROUNDUP(P96,0),ROUND(P96,0))</f>
        <v/>
      </c>
      <c r="L96" s="34" t="n"/>
      <c r="M96" s="35">
        <f>L96-K96</f>
        <v/>
      </c>
      <c r="N96" s="36">
        <f>IF(K96=0,"",L96/K96)</f>
        <v/>
      </c>
      <c r="O96" s="37">
        <f>IF(K96=0,"لا ينطبق",IF(L96&gt;=K96,"مكتمل",IF(L96=0,"لا يوجد","عجز")))</f>
        <v/>
      </c>
      <c r="P96" s="38">
        <f>IF(CAP&lt;=$D$4,D96*CAP/$D$4,IF(CAP&gt;=$J$4,J96*CAP/$J$4,INDEX($D96:$J96,$D$3)+$E$3*(INDEX($D96:$J96,$D$3+1)-INDEX($D96:$J96,$D$3))))</f>
        <v/>
      </c>
      <c r="Q96" s="39" t="inlineStr"/>
    </row>
    <row r="97">
      <c r="A97" s="30" t="n">
        <v>93</v>
      </c>
      <c r="B97" s="31" t="inlineStr">
        <is>
          <t>طبيب</t>
        </is>
      </c>
      <c r="C97" s="5" t="inlineStr">
        <is>
          <t>مقيم جراحة أطفال</t>
        </is>
      </c>
      <c r="D97" s="32" t="n">
        <v>0</v>
      </c>
      <c r="E97" s="32" t="n">
        <v>0</v>
      </c>
      <c r="F97" s="32" t="n">
        <v>0</v>
      </c>
      <c r="G97" s="32" t="n">
        <v>0</v>
      </c>
      <c r="H97" s="32" t="n">
        <v>3</v>
      </c>
      <c r="I97" s="32" t="n">
        <v>3</v>
      </c>
      <c r="J97" s="32" t="n">
        <v>4</v>
      </c>
      <c r="K97" s="33">
        <f>IF(RMODE="تقريب لأعلى",ROUNDUP(P97,0),ROUND(P97,0))</f>
        <v/>
      </c>
      <c r="L97" s="34" t="n"/>
      <c r="M97" s="35">
        <f>L97-K97</f>
        <v/>
      </c>
      <c r="N97" s="36">
        <f>IF(K97=0,"",L97/K97)</f>
        <v/>
      </c>
      <c r="O97" s="37">
        <f>IF(K97=0,"لا ينطبق",IF(L97&gt;=K97,"مكتمل",IF(L97=0,"لا يوجد","عجز")))</f>
        <v/>
      </c>
      <c r="P97" s="38">
        <f>IF(CAP&lt;=$D$4,D97*CAP/$D$4,IF(CAP&gt;=$J$4,J97*CAP/$J$4,INDEX($D97:$J97,$D$3)+$E$3*(INDEX($D97:$J97,$D$3+1)-INDEX($D97:$J97,$D$3))))</f>
        <v/>
      </c>
      <c r="Q97" s="39" t="inlineStr"/>
    </row>
    <row r="98">
      <c r="A98" s="30" t="n">
        <v>94</v>
      </c>
      <c r="B98" s="31" t="inlineStr">
        <is>
          <t>طبيب</t>
        </is>
      </c>
      <c r="C98" s="5" t="inlineStr">
        <is>
          <t>استشاري أطفال</t>
        </is>
      </c>
      <c r="D98" s="32" t="n">
        <v>2</v>
      </c>
      <c r="E98" s="32" t="n">
        <v>3</v>
      </c>
      <c r="F98" s="32" t="n">
        <v>3</v>
      </c>
      <c r="G98" s="32" t="n">
        <v>3</v>
      </c>
      <c r="H98" s="32" t="n">
        <v>4</v>
      </c>
      <c r="I98" s="32" t="n">
        <v>8</v>
      </c>
      <c r="J98" s="32" t="n">
        <v>8</v>
      </c>
      <c r="K98" s="33">
        <f>IF(RMODE="تقريب لأعلى",ROUNDUP(P98,0),ROUND(P98,0))</f>
        <v/>
      </c>
      <c r="L98" s="34" t="n"/>
      <c r="M98" s="35">
        <f>L98-K98</f>
        <v/>
      </c>
      <c r="N98" s="36">
        <f>IF(K98=0,"",L98/K98)</f>
        <v/>
      </c>
      <c r="O98" s="37">
        <f>IF(K98=0,"لا ينطبق",IF(L98&gt;=K98,"مكتمل",IF(L98=0,"لا يوجد","عجز")))</f>
        <v/>
      </c>
      <c r="P98" s="38">
        <f>IF(CAP&lt;=$D$4,D98*CAP/$D$4,IF(CAP&gt;=$J$4,J98*CAP/$J$4,INDEX($D98:$J98,$D$3)+$E$3*(INDEX($D98:$J98,$D$3+1)-INDEX($D98:$J98,$D$3))))</f>
        <v/>
      </c>
      <c r="Q98" s="39" t="inlineStr"/>
    </row>
    <row r="99">
      <c r="A99" s="30" t="n">
        <v>95</v>
      </c>
      <c r="B99" s="31" t="inlineStr">
        <is>
          <t>طبيب</t>
        </is>
      </c>
      <c r="C99" s="5" t="inlineStr">
        <is>
          <t>أخصائي أطفال</t>
        </is>
      </c>
      <c r="D99" s="32" t="n">
        <v>2</v>
      </c>
      <c r="E99" s="32" t="n">
        <v>3</v>
      </c>
      <c r="F99" s="32" t="n">
        <v>4</v>
      </c>
      <c r="G99" s="32" t="n">
        <v>4</v>
      </c>
      <c r="H99" s="32" t="n">
        <v>6</v>
      </c>
      <c r="I99" s="32" t="n">
        <v>6</v>
      </c>
      <c r="J99" s="32" t="n">
        <v>8</v>
      </c>
      <c r="K99" s="33">
        <f>IF(RMODE="تقريب لأعلى",ROUNDUP(P99,0),ROUND(P99,0))</f>
        <v/>
      </c>
      <c r="L99" s="34" t="n"/>
      <c r="M99" s="35">
        <f>L99-K99</f>
        <v/>
      </c>
      <c r="N99" s="36">
        <f>IF(K99=0,"",L99/K99)</f>
        <v/>
      </c>
      <c r="O99" s="37">
        <f>IF(K99=0,"لا ينطبق",IF(L99&gt;=K99,"مكتمل",IF(L99=0,"لا يوجد","عجز")))</f>
        <v/>
      </c>
      <c r="P99" s="38">
        <f>IF(CAP&lt;=$D$4,D99*CAP/$D$4,IF(CAP&gt;=$J$4,J99*CAP/$J$4,INDEX($D99:$J99,$D$3)+$E$3*(INDEX($D99:$J99,$D$3+1)-INDEX($D99:$J99,$D$3))))</f>
        <v/>
      </c>
      <c r="Q99" s="39" t="inlineStr"/>
    </row>
    <row r="100">
      <c r="A100" s="30" t="n">
        <v>96</v>
      </c>
      <c r="B100" s="31" t="inlineStr">
        <is>
          <t>طبيب</t>
        </is>
      </c>
      <c r="C100" s="5" t="inlineStr">
        <is>
          <t>مقيم أطفال</t>
        </is>
      </c>
      <c r="D100" s="32" t="n">
        <v>4</v>
      </c>
      <c r="E100" s="32" t="n">
        <v>4</v>
      </c>
      <c r="F100" s="32" t="n">
        <v>6</v>
      </c>
      <c r="G100" s="32" t="n">
        <v>7</v>
      </c>
      <c r="H100" s="32" t="n">
        <v>10</v>
      </c>
      <c r="I100" s="32" t="n">
        <v>12</v>
      </c>
      <c r="J100" s="32" t="n">
        <v>14</v>
      </c>
      <c r="K100" s="33">
        <f>IF(RMODE="تقريب لأعلى",ROUNDUP(P100,0),ROUND(P100,0))</f>
        <v/>
      </c>
      <c r="L100" s="34" t="n"/>
      <c r="M100" s="35">
        <f>L100-K100</f>
        <v/>
      </c>
      <c r="N100" s="36">
        <f>IF(K100=0,"",L100/K100)</f>
        <v/>
      </c>
      <c r="O100" s="37">
        <f>IF(K100=0,"لا ينطبق",IF(L100&gt;=K100,"مكتمل",IF(L100=0,"لا يوجد","عجز")))</f>
        <v/>
      </c>
      <c r="P100" s="38">
        <f>IF(CAP&lt;=$D$4,D100*CAP/$D$4,IF(CAP&gt;=$J$4,J100*CAP/$J$4,INDEX($D100:$J100,$D$3)+$E$3*(INDEX($D100:$J100,$D$3+1)-INDEX($D100:$J100,$D$3))))</f>
        <v/>
      </c>
      <c r="Q100" s="39" t="inlineStr"/>
    </row>
    <row r="101">
      <c r="A101" s="30" t="n">
        <v>97</v>
      </c>
      <c r="B101" s="31" t="inlineStr">
        <is>
          <t>طبيب</t>
        </is>
      </c>
      <c r="C101" s="5" t="inlineStr">
        <is>
          <t>استشاري قلب أطفال</t>
        </is>
      </c>
      <c r="D101" s="32" t="n">
        <v>0</v>
      </c>
      <c r="E101" s="32" t="n">
        <v>0</v>
      </c>
      <c r="F101" s="32" t="n">
        <v>1</v>
      </c>
      <c r="G101" s="32" t="n">
        <v>1</v>
      </c>
      <c r="H101" s="32" t="n">
        <v>2</v>
      </c>
      <c r="I101" s="32" t="n">
        <v>3</v>
      </c>
      <c r="J101" s="32" t="n">
        <v>4</v>
      </c>
      <c r="K101" s="33">
        <f>IF(RMODE="تقريب لأعلى",ROUNDUP(P101,0),ROUND(P101,0))</f>
        <v/>
      </c>
      <c r="L101" s="34" t="n"/>
      <c r="M101" s="35">
        <f>L101-K101</f>
        <v/>
      </c>
      <c r="N101" s="36">
        <f>IF(K101=0,"",L101/K101)</f>
        <v/>
      </c>
      <c r="O101" s="37">
        <f>IF(K101=0,"لا ينطبق",IF(L101&gt;=K101,"مكتمل",IF(L101=0,"لا يوجد","عجز")))</f>
        <v/>
      </c>
      <c r="P101" s="38">
        <f>IF(CAP&lt;=$D$4,D101*CAP/$D$4,IF(CAP&gt;=$J$4,J101*CAP/$J$4,INDEX($D101:$J101,$D$3)+$E$3*(INDEX($D101:$J101,$D$3+1)-INDEX($D101:$J101,$D$3))))</f>
        <v/>
      </c>
      <c r="Q101" s="39" t="inlineStr"/>
    </row>
    <row r="102">
      <c r="A102" s="30" t="n">
        <v>98</v>
      </c>
      <c r="B102" s="31" t="inlineStr">
        <is>
          <t>طبيب</t>
        </is>
      </c>
      <c r="C102" s="5" t="inlineStr">
        <is>
          <t>أخصائي قلب أطفال</t>
        </is>
      </c>
      <c r="D102" s="32" t="n">
        <v>0</v>
      </c>
      <c r="E102" s="32" t="n">
        <v>0</v>
      </c>
      <c r="F102" s="32" t="n">
        <v>0</v>
      </c>
      <c r="G102" s="32" t="n">
        <v>1</v>
      </c>
      <c r="H102" s="32" t="n">
        <v>2</v>
      </c>
      <c r="I102" s="32" t="n">
        <v>3</v>
      </c>
      <c r="J102" s="32" t="n">
        <v>3</v>
      </c>
      <c r="K102" s="33">
        <f>IF(RMODE="تقريب لأعلى",ROUNDUP(P102,0),ROUND(P102,0))</f>
        <v/>
      </c>
      <c r="L102" s="34" t="n"/>
      <c r="M102" s="35">
        <f>L102-K102</f>
        <v/>
      </c>
      <c r="N102" s="36">
        <f>IF(K102=0,"",L102/K102)</f>
        <v/>
      </c>
      <c r="O102" s="37">
        <f>IF(K102=0,"لا ينطبق",IF(L102&gt;=K102,"مكتمل",IF(L102=0,"لا يوجد","عجز")))</f>
        <v/>
      </c>
      <c r="P102" s="38">
        <f>IF(CAP&lt;=$D$4,D102*CAP/$D$4,IF(CAP&gt;=$J$4,J102*CAP/$J$4,INDEX($D102:$J102,$D$3)+$E$3*(INDEX($D102:$J102,$D$3+1)-INDEX($D102:$J102,$D$3))))</f>
        <v/>
      </c>
      <c r="Q102" s="39" t="inlineStr"/>
    </row>
    <row r="103">
      <c r="A103" s="30" t="n">
        <v>99</v>
      </c>
      <c r="B103" s="31" t="inlineStr">
        <is>
          <t>طبيب</t>
        </is>
      </c>
      <c r="C103" s="5" t="inlineStr">
        <is>
          <t>استشاري أعصاب أطفال</t>
        </is>
      </c>
      <c r="D103" s="32" t="n">
        <v>0</v>
      </c>
      <c r="E103" s="32" t="n">
        <v>0</v>
      </c>
      <c r="F103" s="32" t="n">
        <v>0</v>
      </c>
      <c r="G103" s="32" t="n">
        <v>0</v>
      </c>
      <c r="H103" s="32" t="n">
        <v>1</v>
      </c>
      <c r="I103" s="32" t="n">
        <v>2</v>
      </c>
      <c r="J103" s="32" t="n">
        <v>3</v>
      </c>
      <c r="K103" s="33">
        <f>IF(RMODE="تقريب لأعلى",ROUNDUP(P103,0),ROUND(P103,0))</f>
        <v/>
      </c>
      <c r="L103" s="34" t="n"/>
      <c r="M103" s="35">
        <f>L103-K103</f>
        <v/>
      </c>
      <c r="N103" s="36">
        <f>IF(K103=0,"",L103/K103)</f>
        <v/>
      </c>
      <c r="O103" s="37">
        <f>IF(K103=0,"لا ينطبق",IF(L103&gt;=K103,"مكتمل",IF(L103=0,"لا يوجد","عجز")))</f>
        <v/>
      </c>
      <c r="P103" s="38">
        <f>IF(CAP&lt;=$D$4,D103*CAP/$D$4,IF(CAP&gt;=$J$4,J103*CAP/$J$4,INDEX($D103:$J103,$D$3)+$E$3*(INDEX($D103:$J103,$D$3+1)-INDEX($D103:$J103,$D$3))))</f>
        <v/>
      </c>
      <c r="Q103" s="39" t="inlineStr"/>
    </row>
    <row r="104">
      <c r="A104" s="30" t="n">
        <v>100</v>
      </c>
      <c r="B104" s="31" t="inlineStr">
        <is>
          <t>طبيب</t>
        </is>
      </c>
      <c r="C104" s="5" t="inlineStr">
        <is>
          <t>أخصائي أعصاب أطفال</t>
        </is>
      </c>
      <c r="D104" s="32" t="n">
        <v>0</v>
      </c>
      <c r="E104" s="32" t="n">
        <v>0</v>
      </c>
      <c r="F104" s="32" t="n">
        <v>0</v>
      </c>
      <c r="G104" s="32" t="n">
        <v>0</v>
      </c>
      <c r="H104" s="32" t="n">
        <v>1</v>
      </c>
      <c r="I104" s="32" t="n">
        <v>2</v>
      </c>
      <c r="J104" s="32" t="n">
        <v>3</v>
      </c>
      <c r="K104" s="33">
        <f>IF(RMODE="تقريب لأعلى",ROUNDUP(P104,0),ROUND(P104,0))</f>
        <v/>
      </c>
      <c r="L104" s="34" t="n"/>
      <c r="M104" s="35">
        <f>L104-K104</f>
        <v/>
      </c>
      <c r="N104" s="36">
        <f>IF(K104=0,"",L104/K104)</f>
        <v/>
      </c>
      <c r="O104" s="37">
        <f>IF(K104=0,"لا ينطبق",IF(L104&gt;=K104,"مكتمل",IF(L104=0,"لا يوجد","عجز")))</f>
        <v/>
      </c>
      <c r="P104" s="38">
        <f>IF(CAP&lt;=$D$4,D104*CAP/$D$4,IF(CAP&gt;=$J$4,J104*CAP/$J$4,INDEX($D104:$J104,$D$3)+$E$3*(INDEX($D104:$J104,$D$3+1)-INDEX($D104:$J104,$D$3))))</f>
        <v/>
      </c>
      <c r="Q104" s="39" t="inlineStr"/>
    </row>
    <row r="105">
      <c r="A105" s="30" t="n">
        <v>101</v>
      </c>
      <c r="B105" s="31" t="inlineStr">
        <is>
          <t>طبيب</t>
        </is>
      </c>
      <c r="C105" s="5" t="inlineStr">
        <is>
          <t>استشاري نمو وسلوك الأطفال</t>
        </is>
      </c>
      <c r="D105" s="32" t="n">
        <v>0</v>
      </c>
      <c r="E105" s="32" t="n">
        <v>0</v>
      </c>
      <c r="F105" s="32" t="n">
        <v>0</v>
      </c>
      <c r="G105" s="32" t="n">
        <v>1</v>
      </c>
      <c r="H105" s="32" t="n">
        <v>2</v>
      </c>
      <c r="I105" s="32" t="n">
        <v>2</v>
      </c>
      <c r="J105" s="32" t="n">
        <v>2</v>
      </c>
      <c r="K105" s="33">
        <f>IF(RMODE="تقريب لأعلى",ROUNDUP(P105,0),ROUND(P105,0))</f>
        <v/>
      </c>
      <c r="L105" s="34" t="n"/>
      <c r="M105" s="35">
        <f>L105-K105</f>
        <v/>
      </c>
      <c r="N105" s="36">
        <f>IF(K105=0,"",L105/K105)</f>
        <v/>
      </c>
      <c r="O105" s="37">
        <f>IF(K105=0,"لا ينطبق",IF(L105&gt;=K105,"مكتمل",IF(L105=0,"لا يوجد","عجز")))</f>
        <v/>
      </c>
      <c r="P105" s="38">
        <f>IF(CAP&lt;=$D$4,D105*CAP/$D$4,IF(CAP&gt;=$J$4,J105*CAP/$J$4,INDEX($D105:$J105,$D$3)+$E$3*(INDEX($D105:$J105,$D$3+1)-INDEX($D105:$J105,$D$3))))</f>
        <v/>
      </c>
      <c r="Q105" s="39" t="inlineStr"/>
    </row>
    <row r="106">
      <c r="A106" s="30" t="n">
        <v>102</v>
      </c>
      <c r="B106" s="31" t="inlineStr">
        <is>
          <t>طبيب</t>
        </is>
      </c>
      <c r="C106" s="5" t="inlineStr">
        <is>
          <t>استشاري نساء وولادة</t>
        </is>
      </c>
      <c r="D106" s="32" t="n">
        <v>1</v>
      </c>
      <c r="E106" s="32" t="n">
        <v>2</v>
      </c>
      <c r="F106" s="32" t="n">
        <v>3</v>
      </c>
      <c r="G106" s="32" t="n">
        <v>3</v>
      </c>
      <c r="H106" s="32" t="n">
        <v>5</v>
      </c>
      <c r="I106" s="32" t="n">
        <v>6</v>
      </c>
      <c r="J106" s="32" t="n">
        <v>8</v>
      </c>
      <c r="K106" s="33">
        <f>IF(RMODE="تقريب لأعلى",ROUNDUP(P106,0),ROUND(P106,0))</f>
        <v/>
      </c>
      <c r="L106" s="34" t="n"/>
      <c r="M106" s="35">
        <f>L106-K106</f>
        <v/>
      </c>
      <c r="N106" s="36">
        <f>IF(K106=0,"",L106/K106)</f>
        <v/>
      </c>
      <c r="O106" s="37">
        <f>IF(K106=0,"لا ينطبق",IF(L106&gt;=K106,"مكتمل",IF(L106=0,"لا يوجد","عجز")))</f>
        <v/>
      </c>
      <c r="P106" s="38">
        <f>IF(CAP&lt;=$D$4,D106*CAP/$D$4,IF(CAP&gt;=$J$4,J106*CAP/$J$4,INDEX($D106:$J106,$D$3)+$E$3*(INDEX($D106:$J106,$D$3+1)-INDEX($D106:$J106,$D$3))))</f>
        <v/>
      </c>
      <c r="Q106" s="39" t="inlineStr"/>
    </row>
    <row r="107">
      <c r="A107" s="30" t="n">
        <v>103</v>
      </c>
      <c r="B107" s="31" t="inlineStr">
        <is>
          <t>طبيب</t>
        </is>
      </c>
      <c r="C107" s="5" t="inlineStr">
        <is>
          <t>أخصائي نساء وولادة</t>
        </is>
      </c>
      <c r="D107" s="32" t="n">
        <v>3</v>
      </c>
      <c r="E107" s="32" t="n">
        <v>3</v>
      </c>
      <c r="F107" s="32" t="n">
        <v>4</v>
      </c>
      <c r="G107" s="32" t="n">
        <v>6</v>
      </c>
      <c r="H107" s="32" t="n">
        <v>7</v>
      </c>
      <c r="I107" s="32" t="n">
        <v>8</v>
      </c>
      <c r="J107" s="32" t="n">
        <v>10</v>
      </c>
      <c r="K107" s="33">
        <f>IF(RMODE="تقريب لأعلى",ROUNDUP(P107,0),ROUND(P107,0))</f>
        <v/>
      </c>
      <c r="L107" s="34" t="n"/>
      <c r="M107" s="35">
        <f>L107-K107</f>
        <v/>
      </c>
      <c r="N107" s="36">
        <f>IF(K107=0,"",L107/K107)</f>
        <v/>
      </c>
      <c r="O107" s="37">
        <f>IF(K107=0,"لا ينطبق",IF(L107&gt;=K107,"مكتمل",IF(L107=0,"لا يوجد","عجز")))</f>
        <v/>
      </c>
      <c r="P107" s="38">
        <f>IF(CAP&lt;=$D$4,D107*CAP/$D$4,IF(CAP&gt;=$J$4,J107*CAP/$J$4,INDEX($D107:$J107,$D$3)+$E$3*(INDEX($D107:$J107,$D$3+1)-INDEX($D107:$J107,$D$3))))</f>
        <v/>
      </c>
      <c r="Q107" s="39" t="inlineStr"/>
    </row>
    <row r="108">
      <c r="A108" s="30" t="n">
        <v>104</v>
      </c>
      <c r="B108" s="31" t="inlineStr">
        <is>
          <t>طبيب</t>
        </is>
      </c>
      <c r="C108" s="5" t="inlineStr">
        <is>
          <t>مقيم أمراض نساء وولادة</t>
        </is>
      </c>
      <c r="D108" s="32" t="n">
        <v>4</v>
      </c>
      <c r="E108" s="32" t="n">
        <v>6</v>
      </c>
      <c r="F108" s="32" t="n">
        <v>8</v>
      </c>
      <c r="G108" s="32" t="n">
        <v>10</v>
      </c>
      <c r="H108" s="32" t="n">
        <v>12</v>
      </c>
      <c r="I108" s="32" t="n">
        <v>14</v>
      </c>
      <c r="J108" s="32" t="n">
        <v>16</v>
      </c>
      <c r="K108" s="33">
        <f>IF(RMODE="تقريب لأعلى",ROUNDUP(P108,0),ROUND(P108,0))</f>
        <v/>
      </c>
      <c r="L108" s="34" t="n"/>
      <c r="M108" s="35">
        <f>L108-K108</f>
        <v/>
      </c>
      <c r="N108" s="36">
        <f>IF(K108=0,"",L108/K108)</f>
        <v/>
      </c>
      <c r="O108" s="37">
        <f>IF(K108=0,"لا ينطبق",IF(L108&gt;=K108,"مكتمل",IF(L108=0,"لا يوجد","عجز")))</f>
        <v/>
      </c>
      <c r="P108" s="38">
        <f>IF(CAP&lt;=$D$4,D108*CAP/$D$4,IF(CAP&gt;=$J$4,J108*CAP/$J$4,INDEX($D108:$J108,$D$3)+$E$3*(INDEX($D108:$J108,$D$3+1)-INDEX($D108:$J108,$D$3))))</f>
        <v/>
      </c>
      <c r="Q108" s="39" t="inlineStr"/>
    </row>
    <row r="109">
      <c r="A109" s="30" t="n">
        <v>105</v>
      </c>
      <c r="B109" s="31" t="inlineStr">
        <is>
          <t>طبيب</t>
        </is>
      </c>
      <c r="C109" s="5" t="inlineStr">
        <is>
          <t>استشاري عقم وأطفال أنابيب</t>
        </is>
      </c>
      <c r="D109" s="32" t="n">
        <v>0</v>
      </c>
      <c r="E109" s="32" t="n">
        <v>0</v>
      </c>
      <c r="F109" s="32" t="n">
        <v>0</v>
      </c>
      <c r="G109" s="32" t="n">
        <v>1</v>
      </c>
      <c r="H109" s="32" t="n">
        <v>2</v>
      </c>
      <c r="I109" s="32" t="n">
        <v>2</v>
      </c>
      <c r="J109" s="32" t="n">
        <v>3</v>
      </c>
      <c r="K109" s="33">
        <f>IF(RMODE="تقريب لأعلى",ROUNDUP(P109,0),ROUND(P109,0))</f>
        <v/>
      </c>
      <c r="L109" s="34" t="n"/>
      <c r="M109" s="35">
        <f>L109-K109</f>
        <v/>
      </c>
      <c r="N109" s="36">
        <f>IF(K109=0,"",L109/K109)</f>
        <v/>
      </c>
      <c r="O109" s="37">
        <f>IF(K109=0,"لا ينطبق",IF(L109&gt;=K109,"مكتمل",IF(L109=0,"لا يوجد","عجز")))</f>
        <v/>
      </c>
      <c r="P109" s="38">
        <f>IF(CAP&lt;=$D$4,D109*CAP/$D$4,IF(CAP&gt;=$J$4,J109*CAP/$J$4,INDEX($D109:$J109,$D$3)+$E$3*(INDEX($D109:$J109,$D$3+1)-INDEX($D109:$J109,$D$3))))</f>
        <v/>
      </c>
      <c r="Q109" s="39" t="inlineStr">
        <is>
          <t>إيضاح 39: يطبق في حال اعتماد مركز للعقم في المنشأة</t>
        </is>
      </c>
    </row>
    <row r="110">
      <c r="A110" s="30" t="n">
        <v>106</v>
      </c>
      <c r="B110" s="31" t="inlineStr">
        <is>
          <t>طبيب</t>
        </is>
      </c>
      <c r="C110" s="5" t="inlineStr">
        <is>
          <t>استشاري تخدير</t>
        </is>
      </c>
      <c r="D110" s="32" t="n">
        <v>1</v>
      </c>
      <c r="E110" s="32" t="n">
        <v>2</v>
      </c>
      <c r="F110" s="32" t="n">
        <v>3</v>
      </c>
      <c r="G110" s="32" t="n">
        <v>5</v>
      </c>
      <c r="H110" s="32" t="n">
        <v>6</v>
      </c>
      <c r="I110" s="32" t="n">
        <v>8</v>
      </c>
      <c r="J110" s="32" t="n">
        <v>12</v>
      </c>
      <c r="K110" s="33">
        <f>IF(RMODE="تقريب لأعلى",ROUNDUP(P110,0),ROUND(P110,0))</f>
        <v/>
      </c>
      <c r="L110" s="34" t="n"/>
      <c r="M110" s="35">
        <f>L110-K110</f>
        <v/>
      </c>
      <c r="N110" s="36">
        <f>IF(K110=0,"",L110/K110)</f>
        <v/>
      </c>
      <c r="O110" s="37">
        <f>IF(K110=0,"لا ينطبق",IF(L110&gt;=K110,"مكتمل",IF(L110=0,"لا يوجد","عجز")))</f>
        <v/>
      </c>
      <c r="P110" s="38">
        <f>IF(CAP&lt;=$D$4,D110*CAP/$D$4,IF(CAP&gt;=$J$4,J110*CAP/$J$4,INDEX($D110:$J110,$D$3)+$E$3*(INDEX($D110:$J110,$D$3+1)-INDEX($D110:$J110,$D$3))))</f>
        <v/>
      </c>
      <c r="Q110" s="39" t="inlineStr"/>
    </row>
    <row r="111">
      <c r="A111" s="30" t="n">
        <v>107</v>
      </c>
      <c r="B111" s="31" t="inlineStr">
        <is>
          <t>طبيب</t>
        </is>
      </c>
      <c r="C111" s="5" t="inlineStr">
        <is>
          <t>أخصائي تخدير</t>
        </is>
      </c>
      <c r="D111" s="32" t="n">
        <v>3</v>
      </c>
      <c r="E111" s="32" t="n">
        <v>3</v>
      </c>
      <c r="F111" s="32" t="n">
        <v>4</v>
      </c>
      <c r="G111" s="32" t="n">
        <v>6</v>
      </c>
      <c r="H111" s="32" t="n">
        <v>10</v>
      </c>
      <c r="I111" s="32" t="n">
        <v>14</v>
      </c>
      <c r="J111" s="32" t="n">
        <v>16</v>
      </c>
      <c r="K111" s="33">
        <f>IF(RMODE="تقريب لأعلى",ROUNDUP(P111,0),ROUND(P111,0))</f>
        <v/>
      </c>
      <c r="L111" s="34" t="n"/>
      <c r="M111" s="35">
        <f>L111-K111</f>
        <v/>
      </c>
      <c r="N111" s="36">
        <f>IF(K111=0,"",L111/K111)</f>
        <v/>
      </c>
      <c r="O111" s="37">
        <f>IF(K111=0,"لا ينطبق",IF(L111&gt;=K111,"مكتمل",IF(L111=0,"لا يوجد","عجز")))</f>
        <v/>
      </c>
      <c r="P111" s="38">
        <f>IF(CAP&lt;=$D$4,D111*CAP/$D$4,IF(CAP&gt;=$J$4,J111*CAP/$J$4,INDEX($D111:$J111,$D$3)+$E$3*(INDEX($D111:$J111,$D$3+1)-INDEX($D111:$J111,$D$3))))</f>
        <v/>
      </c>
      <c r="Q111" s="39" t="inlineStr"/>
    </row>
    <row r="112">
      <c r="A112" s="30" t="n">
        <v>108</v>
      </c>
      <c r="B112" s="31" t="inlineStr">
        <is>
          <t>طبيب</t>
        </is>
      </c>
      <c r="C112" s="5" t="inlineStr">
        <is>
          <t>مقيم تخدير</t>
        </is>
      </c>
      <c r="D112" s="32" t="n">
        <v>0</v>
      </c>
      <c r="E112" s="32" t="n">
        <v>0</v>
      </c>
      <c r="F112" s="32" t="n">
        <v>3</v>
      </c>
      <c r="G112" s="32" t="n">
        <v>3</v>
      </c>
      <c r="H112" s="32" t="n">
        <v>4</v>
      </c>
      <c r="I112" s="32" t="n">
        <v>5</v>
      </c>
      <c r="J112" s="32" t="n">
        <v>7</v>
      </c>
      <c r="K112" s="33">
        <f>IF(RMODE="تقريب لأعلى",ROUNDUP(P112,0),ROUND(P112,0))</f>
        <v/>
      </c>
      <c r="L112" s="34" t="n"/>
      <c r="M112" s="35">
        <f>L112-K112</f>
        <v/>
      </c>
      <c r="N112" s="36">
        <f>IF(K112=0,"",L112/K112)</f>
        <v/>
      </c>
      <c r="O112" s="37">
        <f>IF(K112=0,"لا ينطبق",IF(L112&gt;=K112,"مكتمل",IF(L112=0,"لا يوجد","عجز")))</f>
        <v/>
      </c>
      <c r="P112" s="38">
        <f>IF(CAP&lt;=$D$4,D112*CAP/$D$4,IF(CAP&gt;=$J$4,J112*CAP/$J$4,INDEX($D112:$J112,$D$3)+$E$3*(INDEX($D112:$J112,$D$3+1)-INDEX($D112:$J112,$D$3))))</f>
        <v/>
      </c>
      <c r="Q112" s="39" t="inlineStr"/>
    </row>
    <row r="113">
      <c r="A113" s="30" t="n">
        <v>109</v>
      </c>
      <c r="B113" s="31" t="inlineStr">
        <is>
          <t>طبيب</t>
        </is>
      </c>
      <c r="C113" s="5" t="inlineStr">
        <is>
          <t>استشاري عناية مركزة كبار</t>
        </is>
      </c>
      <c r="D113" s="32" t="n">
        <v>1</v>
      </c>
      <c r="E113" s="32" t="n">
        <v>2</v>
      </c>
      <c r="F113" s="32" t="n">
        <v>3</v>
      </c>
      <c r="G113" s="32" t="n">
        <v>3</v>
      </c>
      <c r="H113" s="32" t="n">
        <v>5</v>
      </c>
      <c r="I113" s="32" t="n">
        <v>7</v>
      </c>
      <c r="J113" s="32" t="n">
        <v>10</v>
      </c>
      <c r="K113" s="33">
        <f>IF(RMODE="تقريب لأعلى",ROUNDUP(P113,0),ROUND(P113,0))</f>
        <v/>
      </c>
      <c r="L113" s="34" t="n"/>
      <c r="M113" s="35">
        <f>L113-K113</f>
        <v/>
      </c>
      <c r="N113" s="36">
        <f>IF(K113=0,"",L113/K113)</f>
        <v/>
      </c>
      <c r="O113" s="37">
        <f>IF(K113=0,"لا ينطبق",IF(L113&gt;=K113,"مكتمل",IF(L113=0,"لا يوجد","عجز")))</f>
        <v/>
      </c>
      <c r="P113" s="38">
        <f>IF(CAP&lt;=$D$4,D113*CAP/$D$4,IF(CAP&gt;=$J$4,J113*CAP/$J$4,INDEX($D113:$J113,$D$3)+$E$3*(INDEX($D113:$J113,$D$3+1)-INDEX($D113:$J113,$D$3))))</f>
        <v/>
      </c>
      <c r="Q113" s="39" t="inlineStr">
        <is>
          <t>إيضاح 8: يطبق معيار العنايات المركزة إذا كانت المستشفى تقدم الخدمة ومعتمدة</t>
        </is>
      </c>
    </row>
    <row r="114">
      <c r="A114" s="30" t="n">
        <v>110</v>
      </c>
      <c r="B114" s="31" t="inlineStr">
        <is>
          <t>طبيب</t>
        </is>
      </c>
      <c r="C114" s="5" t="inlineStr">
        <is>
          <t>أخصائي عناية مركزة كبار</t>
        </is>
      </c>
      <c r="D114" s="32" t="n">
        <v>3</v>
      </c>
      <c r="E114" s="32" t="n">
        <v>5</v>
      </c>
      <c r="F114" s="32" t="n">
        <v>8</v>
      </c>
      <c r="G114" s="32" t="n">
        <v>8</v>
      </c>
      <c r="H114" s="32" t="n">
        <v>10</v>
      </c>
      <c r="I114" s="32" t="n">
        <v>15</v>
      </c>
      <c r="J114" s="32" t="n">
        <v>20</v>
      </c>
      <c r="K114" s="33">
        <f>IF(RMODE="تقريب لأعلى",ROUNDUP(P114,0),ROUND(P114,0))</f>
        <v/>
      </c>
      <c r="L114" s="34" t="n"/>
      <c r="M114" s="35">
        <f>L114-K114</f>
        <v/>
      </c>
      <c r="N114" s="36">
        <f>IF(K114=0,"",L114/K114)</f>
        <v/>
      </c>
      <c r="O114" s="37">
        <f>IF(K114=0,"لا ينطبق",IF(L114&gt;=K114,"مكتمل",IF(L114=0,"لا يوجد","عجز")))</f>
        <v/>
      </c>
      <c r="P114" s="38">
        <f>IF(CAP&lt;=$D$4,D114*CAP/$D$4,IF(CAP&gt;=$J$4,J114*CAP/$J$4,INDEX($D114:$J114,$D$3)+$E$3*(INDEX($D114:$J114,$D$3+1)-INDEX($D114:$J114,$D$3))))</f>
        <v/>
      </c>
      <c r="Q114" s="39" t="inlineStr">
        <is>
          <t>إيضاح 8</t>
        </is>
      </c>
    </row>
    <row r="115">
      <c r="A115" s="30" t="n">
        <v>111</v>
      </c>
      <c r="B115" s="31" t="inlineStr">
        <is>
          <t>طبيب</t>
        </is>
      </c>
      <c r="C115" s="5" t="inlineStr">
        <is>
          <t>مقيم عناية مركزة كبار</t>
        </is>
      </c>
      <c r="D115" s="32" t="n">
        <v>0</v>
      </c>
      <c r="E115" s="32" t="n">
        <v>0</v>
      </c>
      <c r="F115" s="32" t="n">
        <v>2</v>
      </c>
      <c r="G115" s="32" t="n">
        <v>2</v>
      </c>
      <c r="H115" s="32" t="n">
        <v>3</v>
      </c>
      <c r="I115" s="32" t="n">
        <v>4</v>
      </c>
      <c r="J115" s="32" t="n">
        <v>5</v>
      </c>
      <c r="K115" s="33">
        <f>IF(RMODE="تقريب لأعلى",ROUNDUP(P115,0),ROUND(P115,0))</f>
        <v/>
      </c>
      <c r="L115" s="34" t="n"/>
      <c r="M115" s="35">
        <f>L115-K115</f>
        <v/>
      </c>
      <c r="N115" s="36">
        <f>IF(K115=0,"",L115/K115)</f>
        <v/>
      </c>
      <c r="O115" s="37">
        <f>IF(K115=0,"لا ينطبق",IF(L115&gt;=K115,"مكتمل",IF(L115=0,"لا يوجد","عجز")))</f>
        <v/>
      </c>
      <c r="P115" s="38">
        <f>IF(CAP&lt;=$D$4,D115*CAP/$D$4,IF(CAP&gt;=$J$4,J115*CAP/$J$4,INDEX($D115:$J115,$D$3)+$E$3*(INDEX($D115:$J115,$D$3+1)-INDEX($D115:$J115,$D$3))))</f>
        <v/>
      </c>
      <c r="Q115" s="39" t="inlineStr">
        <is>
          <t>إيضاح 8</t>
        </is>
      </c>
    </row>
    <row r="116">
      <c r="A116" s="30" t="n">
        <v>112</v>
      </c>
      <c r="B116" s="31" t="inlineStr">
        <is>
          <t>طبيب</t>
        </is>
      </c>
      <c r="C116" s="5" t="inlineStr">
        <is>
          <t>استشاري عناية مركزة أطفال</t>
        </is>
      </c>
      <c r="D116" s="32" t="n">
        <v>0</v>
      </c>
      <c r="E116" s="32" t="n">
        <v>0</v>
      </c>
      <c r="F116" s="32" t="n">
        <v>2</v>
      </c>
      <c r="G116" s="32" t="n">
        <v>2</v>
      </c>
      <c r="H116" s="32" t="n">
        <v>3</v>
      </c>
      <c r="I116" s="32" t="n">
        <v>4</v>
      </c>
      <c r="J116" s="32" t="n">
        <v>5</v>
      </c>
      <c r="K116" s="33">
        <f>IF(RMODE="تقريب لأعلى",ROUNDUP(P116,0),ROUND(P116,0))</f>
        <v/>
      </c>
      <c r="L116" s="34" t="n"/>
      <c r="M116" s="35">
        <f>L116-K116</f>
        <v/>
      </c>
      <c r="N116" s="36">
        <f>IF(K116=0,"",L116/K116)</f>
        <v/>
      </c>
      <c r="O116" s="37">
        <f>IF(K116=0,"لا ينطبق",IF(L116&gt;=K116,"مكتمل",IF(L116=0,"لا يوجد","عجز")))</f>
        <v/>
      </c>
      <c r="P116" s="38">
        <f>IF(CAP&lt;=$D$4,D116*CAP/$D$4,IF(CAP&gt;=$J$4,J116*CAP/$J$4,INDEX($D116:$J116,$D$3)+$E$3*(INDEX($D116:$J116,$D$3+1)-INDEX($D116:$J116,$D$3))))</f>
        <v/>
      </c>
      <c r="Q116" s="39" t="inlineStr">
        <is>
          <t>إيضاح 8</t>
        </is>
      </c>
    </row>
    <row r="117">
      <c r="A117" s="30" t="n">
        <v>113</v>
      </c>
      <c r="B117" s="31" t="inlineStr">
        <is>
          <t>طبيب</t>
        </is>
      </c>
      <c r="C117" s="5" t="inlineStr">
        <is>
          <t>أخصائي عناية مركزة أطفال</t>
        </is>
      </c>
      <c r="D117" s="32" t="n">
        <v>0</v>
      </c>
      <c r="E117" s="32" t="n">
        <v>0</v>
      </c>
      <c r="F117" s="32" t="n">
        <v>4</v>
      </c>
      <c r="G117" s="32" t="n">
        <v>4</v>
      </c>
      <c r="H117" s="32" t="n">
        <v>6</v>
      </c>
      <c r="I117" s="32" t="n">
        <v>8</v>
      </c>
      <c r="J117" s="32" t="n">
        <v>10</v>
      </c>
      <c r="K117" s="33">
        <f>IF(RMODE="تقريب لأعلى",ROUNDUP(P117,0),ROUND(P117,0))</f>
        <v/>
      </c>
      <c r="L117" s="34" t="n"/>
      <c r="M117" s="35">
        <f>L117-K117</f>
        <v/>
      </c>
      <c r="N117" s="36">
        <f>IF(K117=0,"",L117/K117)</f>
        <v/>
      </c>
      <c r="O117" s="37">
        <f>IF(K117=0,"لا ينطبق",IF(L117&gt;=K117,"مكتمل",IF(L117=0,"لا يوجد","عجز")))</f>
        <v/>
      </c>
      <c r="P117" s="38">
        <f>IF(CAP&lt;=$D$4,D117*CAP/$D$4,IF(CAP&gt;=$J$4,J117*CAP/$J$4,INDEX($D117:$J117,$D$3)+$E$3*(INDEX($D117:$J117,$D$3+1)-INDEX($D117:$J117,$D$3))))</f>
        <v/>
      </c>
      <c r="Q117" s="39" t="inlineStr">
        <is>
          <t>إيضاح 8</t>
        </is>
      </c>
    </row>
    <row r="118">
      <c r="A118" s="30" t="n">
        <v>114</v>
      </c>
      <c r="B118" s="31" t="inlineStr">
        <is>
          <t>طبيب</t>
        </is>
      </c>
      <c r="C118" s="5" t="inlineStr">
        <is>
          <t>مقيم عناية مركزة أطفال</t>
        </is>
      </c>
      <c r="D118" s="32" t="n">
        <v>0</v>
      </c>
      <c r="E118" s="32" t="n">
        <v>0</v>
      </c>
      <c r="F118" s="32" t="n">
        <v>2</v>
      </c>
      <c r="G118" s="32" t="n">
        <v>2</v>
      </c>
      <c r="H118" s="32" t="n">
        <v>3</v>
      </c>
      <c r="I118" s="32" t="n">
        <v>4</v>
      </c>
      <c r="J118" s="32" t="n">
        <v>5</v>
      </c>
      <c r="K118" s="33">
        <f>IF(RMODE="تقريب لأعلى",ROUNDUP(P118,0),ROUND(P118,0))</f>
        <v/>
      </c>
      <c r="L118" s="34" t="n"/>
      <c r="M118" s="35">
        <f>L118-K118</f>
        <v/>
      </c>
      <c r="N118" s="36">
        <f>IF(K118=0,"",L118/K118)</f>
        <v/>
      </c>
      <c r="O118" s="37">
        <f>IF(K118=0,"لا ينطبق",IF(L118&gt;=K118,"مكتمل",IF(L118=0,"لا يوجد","عجز")))</f>
        <v/>
      </c>
      <c r="P118" s="38">
        <f>IF(CAP&lt;=$D$4,D118*CAP/$D$4,IF(CAP&gt;=$J$4,J118*CAP/$J$4,INDEX($D118:$J118,$D$3)+$E$3*(INDEX($D118:$J118,$D$3+1)-INDEX($D118:$J118,$D$3))))</f>
        <v/>
      </c>
      <c r="Q118" s="39" t="inlineStr">
        <is>
          <t>إيضاح 8</t>
        </is>
      </c>
    </row>
    <row r="119">
      <c r="A119" s="30" t="n">
        <v>115</v>
      </c>
      <c r="B119" s="31" t="inlineStr">
        <is>
          <t>طبيب</t>
        </is>
      </c>
      <c r="C119" s="5" t="inlineStr">
        <is>
          <t>استشاري عناية مركزة أطفال حديثي الولادة</t>
        </is>
      </c>
      <c r="D119" s="32" t="n">
        <v>0</v>
      </c>
      <c r="E119" s="32" t="n">
        <v>2</v>
      </c>
      <c r="F119" s="32" t="n">
        <v>2</v>
      </c>
      <c r="G119" s="32" t="n">
        <v>3</v>
      </c>
      <c r="H119" s="32" t="n">
        <v>4</v>
      </c>
      <c r="I119" s="32" t="n">
        <v>5</v>
      </c>
      <c r="J119" s="32" t="n">
        <v>8</v>
      </c>
      <c r="K119" s="33">
        <f>IF(RMODE="تقريب لأعلى",ROUNDUP(P119,0),ROUND(P119,0))</f>
        <v/>
      </c>
      <c r="L119" s="34" t="n"/>
      <c r="M119" s="35">
        <f>L119-K119</f>
        <v/>
      </c>
      <c r="N119" s="36">
        <f>IF(K119=0,"",L119/K119)</f>
        <v/>
      </c>
      <c r="O119" s="37">
        <f>IF(K119=0,"لا ينطبق",IF(L119&gt;=K119,"مكتمل",IF(L119=0,"لا يوجد","عجز")))</f>
        <v/>
      </c>
      <c r="P119" s="38">
        <f>IF(CAP&lt;=$D$4,D119*CAP/$D$4,IF(CAP&gt;=$J$4,J119*CAP/$J$4,INDEX($D119:$J119,$D$3)+$E$3*(INDEX($D119:$J119,$D$3+1)-INDEX($D119:$J119,$D$3))))</f>
        <v/>
      </c>
      <c r="Q119" s="39" t="inlineStr">
        <is>
          <t>إيضاح 8</t>
        </is>
      </c>
    </row>
    <row r="120">
      <c r="A120" s="30" t="n">
        <v>116</v>
      </c>
      <c r="B120" s="31" t="inlineStr">
        <is>
          <t>طبيب</t>
        </is>
      </c>
      <c r="C120" s="5" t="inlineStr">
        <is>
          <t>أخصائي عناية مركزة أطفال حديثي الولادة</t>
        </is>
      </c>
      <c r="D120" s="32" t="n">
        <v>2</v>
      </c>
      <c r="E120" s="32" t="n">
        <v>4</v>
      </c>
      <c r="F120" s="32" t="n">
        <v>5</v>
      </c>
      <c r="G120" s="32" t="n">
        <v>6</v>
      </c>
      <c r="H120" s="32" t="n">
        <v>8</v>
      </c>
      <c r="I120" s="32" t="n">
        <v>10</v>
      </c>
      <c r="J120" s="32" t="n">
        <v>16</v>
      </c>
      <c r="K120" s="33">
        <f>IF(RMODE="تقريب لأعلى",ROUNDUP(P120,0),ROUND(P120,0))</f>
        <v/>
      </c>
      <c r="L120" s="34" t="n"/>
      <c r="M120" s="35">
        <f>L120-K120</f>
        <v/>
      </c>
      <c r="N120" s="36">
        <f>IF(K120=0,"",L120/K120)</f>
        <v/>
      </c>
      <c r="O120" s="37">
        <f>IF(K120=0,"لا ينطبق",IF(L120&gt;=K120,"مكتمل",IF(L120=0,"لا يوجد","عجز")))</f>
        <v/>
      </c>
      <c r="P120" s="38">
        <f>IF(CAP&lt;=$D$4,D120*CAP/$D$4,IF(CAP&gt;=$J$4,J120*CAP/$J$4,INDEX($D120:$J120,$D$3)+$E$3*(INDEX($D120:$J120,$D$3+1)-INDEX($D120:$J120,$D$3))))</f>
        <v/>
      </c>
      <c r="Q120" s="39" t="inlineStr">
        <is>
          <t>إيضاح 8</t>
        </is>
      </c>
    </row>
    <row r="121">
      <c r="A121" s="30" t="n">
        <v>117</v>
      </c>
      <c r="B121" s="31" t="inlineStr">
        <is>
          <t>طبيب</t>
        </is>
      </c>
      <c r="C121" s="5" t="inlineStr">
        <is>
          <t>مقيم عناية مركزة أطفال حديثي الولادة</t>
        </is>
      </c>
      <c r="D121" s="32" t="n">
        <v>2</v>
      </c>
      <c r="E121" s="32" t="n">
        <v>2</v>
      </c>
      <c r="F121" s="32" t="n">
        <v>2</v>
      </c>
      <c r="G121" s="32" t="n">
        <v>2</v>
      </c>
      <c r="H121" s="32" t="n">
        <v>3</v>
      </c>
      <c r="I121" s="32" t="n">
        <v>4</v>
      </c>
      <c r="J121" s="32" t="n">
        <v>5</v>
      </c>
      <c r="K121" s="33">
        <f>IF(RMODE="تقريب لأعلى",ROUNDUP(P121,0),ROUND(P121,0))</f>
        <v/>
      </c>
      <c r="L121" s="34" t="n"/>
      <c r="M121" s="35">
        <f>L121-K121</f>
        <v/>
      </c>
      <c r="N121" s="36">
        <f>IF(K121=0,"",L121/K121)</f>
        <v/>
      </c>
      <c r="O121" s="37">
        <f>IF(K121=0,"لا ينطبق",IF(L121&gt;=K121,"مكتمل",IF(L121=0,"لا يوجد","عجز")))</f>
        <v/>
      </c>
      <c r="P121" s="38">
        <f>IF(CAP&lt;=$D$4,D121*CAP/$D$4,IF(CAP&gt;=$J$4,J121*CAP/$J$4,INDEX($D121:$J121,$D$3)+$E$3*(INDEX($D121:$J121,$D$3+1)-INDEX($D121:$J121,$D$3))))</f>
        <v/>
      </c>
      <c r="Q121" s="39" t="inlineStr">
        <is>
          <t>إيضاح 8</t>
        </is>
      </c>
    </row>
    <row r="122">
      <c r="A122" s="30" t="n">
        <v>118</v>
      </c>
      <c r="B122" s="31" t="inlineStr">
        <is>
          <t>طبيب</t>
        </is>
      </c>
      <c r="C122" s="5" t="inlineStr">
        <is>
          <t>استشاري طوارئ</t>
        </is>
      </c>
      <c r="D122" s="32" t="n">
        <v>0</v>
      </c>
      <c r="E122" s="32" t="n">
        <v>6</v>
      </c>
      <c r="F122" s="32" t="n">
        <v>7</v>
      </c>
      <c r="G122" s="32" t="n">
        <v>8</v>
      </c>
      <c r="H122" s="32" t="n">
        <v>9</v>
      </c>
      <c r="I122" s="32" t="n">
        <v>9</v>
      </c>
      <c r="J122" s="32" t="n">
        <v>13</v>
      </c>
      <c r="K122" s="33">
        <f>IF(RMODE="تقريب لأعلى",ROUNDUP(P122,0),ROUND(P122,0))</f>
        <v/>
      </c>
      <c r="L122" s="34" t="n"/>
      <c r="M122" s="35">
        <f>L122-K122</f>
        <v/>
      </c>
      <c r="N122" s="36">
        <f>IF(K122=0,"",L122/K122)</f>
        <v/>
      </c>
      <c r="O122" s="37">
        <f>IF(K122=0,"لا ينطبق",IF(L122&gt;=K122,"مكتمل",IF(L122=0,"لا يوجد","عجز")))</f>
        <v/>
      </c>
      <c r="P122" s="38">
        <f>IF(CAP&lt;=$D$4,D122*CAP/$D$4,IF(CAP&gt;=$J$4,J122*CAP/$J$4,INDEX($D122:$J122,$D$3)+$E$3*(INDEX($D122:$J122,$D$3+1)-INDEX($D122:$J122,$D$3))))</f>
        <v/>
      </c>
      <c r="Q122" s="39" t="inlineStr">
        <is>
          <t>إيضاحات 16-18: العدد يجب أن يغطي العمل على مدار الساعة بنظام الورديات</t>
        </is>
      </c>
    </row>
    <row r="123">
      <c r="A123" s="30" t="n">
        <v>119</v>
      </c>
      <c r="B123" s="31" t="inlineStr">
        <is>
          <t>طبيب</t>
        </is>
      </c>
      <c r="C123" s="5" t="inlineStr">
        <is>
          <t>أخصائي طوارئ</t>
        </is>
      </c>
      <c r="D123" s="32" t="n">
        <v>5</v>
      </c>
      <c r="E123" s="32" t="n">
        <v>6</v>
      </c>
      <c r="F123" s="32" t="n">
        <v>6</v>
      </c>
      <c r="G123" s="32" t="n">
        <v>7</v>
      </c>
      <c r="H123" s="32" t="n">
        <v>8</v>
      </c>
      <c r="I123" s="32" t="n">
        <v>8</v>
      </c>
      <c r="J123" s="32" t="n">
        <v>8</v>
      </c>
      <c r="K123" s="33">
        <f>IF(RMODE="تقريب لأعلى",ROUNDUP(P123,0),ROUND(P123,0))</f>
        <v/>
      </c>
      <c r="L123" s="34" t="n"/>
      <c r="M123" s="35">
        <f>L123-K123</f>
        <v/>
      </c>
      <c r="N123" s="36">
        <f>IF(K123=0,"",L123/K123)</f>
        <v/>
      </c>
      <c r="O123" s="37">
        <f>IF(K123=0,"لا ينطبق",IF(L123&gt;=K123,"مكتمل",IF(L123=0,"لا يوجد","عجز")))</f>
        <v/>
      </c>
      <c r="P123" s="38">
        <f>IF(CAP&lt;=$D$4,D123*CAP/$D$4,IF(CAP&gt;=$J$4,J123*CAP/$J$4,INDEX($D123:$J123,$D$3)+$E$3*(INDEX($D123:$J123,$D$3+1)-INDEX($D123:$J123,$D$3))))</f>
        <v/>
      </c>
      <c r="Q123" s="39" t="inlineStr">
        <is>
          <t>إيضاحات 16-18</t>
        </is>
      </c>
    </row>
    <row r="124">
      <c r="A124" s="30" t="n">
        <v>120</v>
      </c>
      <c r="B124" s="31" t="inlineStr">
        <is>
          <t>طبيب</t>
        </is>
      </c>
      <c r="C124" s="5" t="inlineStr">
        <is>
          <t>مقيم طوارئ</t>
        </is>
      </c>
      <c r="D124" s="32" t="n">
        <v>7</v>
      </c>
      <c r="E124" s="32" t="n">
        <v>10</v>
      </c>
      <c r="F124" s="32" t="n">
        <v>12</v>
      </c>
      <c r="G124" s="32" t="n">
        <v>12</v>
      </c>
      <c r="H124" s="32" t="n">
        <v>12</v>
      </c>
      <c r="I124" s="32" t="n">
        <v>16</v>
      </c>
      <c r="J124" s="32" t="n">
        <v>20</v>
      </c>
      <c r="K124" s="33">
        <f>IF(RMODE="تقريب لأعلى",ROUNDUP(P124,0),ROUND(P124,0))</f>
        <v/>
      </c>
      <c r="L124" s="34" t="n"/>
      <c r="M124" s="35">
        <f>L124-K124</f>
        <v/>
      </c>
      <c r="N124" s="36">
        <f>IF(K124=0,"",L124/K124)</f>
        <v/>
      </c>
      <c r="O124" s="37">
        <f>IF(K124=0,"لا ينطبق",IF(L124&gt;=K124,"مكتمل",IF(L124=0,"لا يوجد","عجز")))</f>
        <v/>
      </c>
      <c r="P124" s="38">
        <f>IF(CAP&lt;=$D$4,D124*CAP/$D$4,IF(CAP&gt;=$J$4,J124*CAP/$J$4,INDEX($D124:$J124,$D$3)+$E$3*(INDEX($D124:$J124,$D$3+1)-INDEX($D124:$J124,$D$3))))</f>
        <v/>
      </c>
      <c r="Q124" s="39" t="inlineStr">
        <is>
          <t>إيضاحات 16-18</t>
        </is>
      </c>
    </row>
    <row r="125">
      <c r="A125" s="30" t="n">
        <v>121</v>
      </c>
      <c r="B125" s="31" t="inlineStr">
        <is>
          <t>طبيب</t>
        </is>
      </c>
      <c r="C125" s="5" t="inlineStr">
        <is>
          <t>طبيب استشاري أشعة</t>
        </is>
      </c>
      <c r="D125" s="32" t="n">
        <v>0</v>
      </c>
      <c r="E125" s="32" t="n">
        <v>1</v>
      </c>
      <c r="F125" s="32" t="n">
        <v>2</v>
      </c>
      <c r="G125" s="32" t="n">
        <v>2</v>
      </c>
      <c r="H125" s="32" t="n">
        <v>3</v>
      </c>
      <c r="I125" s="32" t="n">
        <v>13</v>
      </c>
      <c r="J125" s="32" t="n">
        <v>13</v>
      </c>
      <c r="K125" s="33">
        <f>IF(RMODE="تقريب لأعلى",ROUNDUP(P125,0),ROUND(P125,0))</f>
        <v/>
      </c>
      <c r="L125" s="34" t="n"/>
      <c r="M125" s="35">
        <f>L125-K125</f>
        <v/>
      </c>
      <c r="N125" s="36">
        <f>IF(K125=0,"",L125/K125)</f>
        <v/>
      </c>
      <c r="O125" s="37">
        <f>IF(K125=0,"لا ينطبق",IF(L125&gt;=K125,"مكتمل",IF(L125=0,"لا يوجد","عجز")))</f>
        <v/>
      </c>
      <c r="P125" s="38">
        <f>IF(CAP&lt;=$D$4,D125*CAP/$D$4,IF(CAP&gt;=$J$4,J125*CAP/$J$4,INDEX($D125:$J125,$D$3)+$E$3*(INDEX($D125:$J125,$D$3+1)-INDEX($D125:$J125,$D$3))))</f>
        <v/>
      </c>
      <c r="Q125" s="39" t="inlineStr">
        <is>
          <t>إيضاح 33: لا يوجد اختلاف في العدد وإنما إعادة توزيع للمسميات</t>
        </is>
      </c>
    </row>
    <row r="126">
      <c r="A126" s="30" t="n">
        <v>122</v>
      </c>
      <c r="B126" s="31" t="inlineStr">
        <is>
          <t>طبيب</t>
        </is>
      </c>
      <c r="C126" s="5" t="inlineStr">
        <is>
          <t>طبيب أخصائي أشعة</t>
        </is>
      </c>
      <c r="D126" s="32" t="n">
        <v>2</v>
      </c>
      <c r="E126" s="32" t="n">
        <v>2</v>
      </c>
      <c r="F126" s="32" t="n">
        <v>4</v>
      </c>
      <c r="G126" s="32" t="n">
        <v>4</v>
      </c>
      <c r="H126" s="32" t="n">
        <v>6</v>
      </c>
      <c r="I126" s="32" t="n">
        <v>24</v>
      </c>
      <c r="J126" s="32" t="n">
        <v>24</v>
      </c>
      <c r="K126" s="33">
        <f>IF(RMODE="تقريب لأعلى",ROUNDUP(P126,0),ROUND(P126,0))</f>
        <v/>
      </c>
      <c r="L126" s="34" t="n"/>
      <c r="M126" s="35">
        <f>L126-K126</f>
        <v/>
      </c>
      <c r="N126" s="36">
        <f>IF(K126=0,"",L126/K126)</f>
        <v/>
      </c>
      <c r="O126" s="37">
        <f>IF(K126=0,"لا ينطبق",IF(L126&gt;=K126,"مكتمل",IF(L126=0,"لا يوجد","عجز")))</f>
        <v/>
      </c>
      <c r="P126" s="38">
        <f>IF(CAP&lt;=$D$4,D126*CAP/$D$4,IF(CAP&gt;=$J$4,J126*CAP/$J$4,INDEX($D126:$J126,$D$3)+$E$3*(INDEX($D126:$J126,$D$3+1)-INDEX($D126:$J126,$D$3))))</f>
        <v/>
      </c>
      <c r="Q126" s="39" t="inlineStr">
        <is>
          <t>إيضاح 33</t>
        </is>
      </c>
    </row>
    <row r="127">
      <c r="A127" s="30" t="n">
        <v>123</v>
      </c>
      <c r="B127" s="31" t="inlineStr">
        <is>
          <t>طبيب</t>
        </is>
      </c>
      <c r="C127" s="5" t="inlineStr">
        <is>
          <t>طبيب مقيم أشعة</t>
        </is>
      </c>
      <c r="D127" s="32" t="n">
        <v>0</v>
      </c>
      <c r="E127" s="32" t="n">
        <v>2</v>
      </c>
      <c r="F127" s="32" t="n">
        <v>4</v>
      </c>
      <c r="G127" s="32" t="n">
        <v>4</v>
      </c>
      <c r="H127" s="32" t="n">
        <v>6</v>
      </c>
      <c r="I127" s="32" t="n">
        <v>16</v>
      </c>
      <c r="J127" s="32" t="n">
        <v>16</v>
      </c>
      <c r="K127" s="33">
        <f>IF(RMODE="تقريب لأعلى",ROUNDUP(P127,0),ROUND(P127,0))</f>
        <v/>
      </c>
      <c r="L127" s="34" t="n"/>
      <c r="M127" s="35">
        <f>L127-K127</f>
        <v/>
      </c>
      <c r="N127" s="36">
        <f>IF(K127=0,"",L127/K127)</f>
        <v/>
      </c>
      <c r="O127" s="37">
        <f>IF(K127=0,"لا ينطبق",IF(L127&gt;=K127,"مكتمل",IF(L127=0,"لا يوجد","عجز")))</f>
        <v/>
      </c>
      <c r="P127" s="38">
        <f>IF(CAP&lt;=$D$4,D127*CAP/$D$4,IF(CAP&gt;=$J$4,J127*CAP/$J$4,INDEX($D127:$J127,$D$3)+$E$3*(INDEX($D127:$J127,$D$3+1)-INDEX($D127:$J127,$D$3))))</f>
        <v/>
      </c>
      <c r="Q127" s="39" t="inlineStr">
        <is>
          <t>إيضاح 33</t>
        </is>
      </c>
    </row>
    <row r="128">
      <c r="A128" s="30" t="n">
        <v>124</v>
      </c>
      <c r="B128" s="31" t="inlineStr">
        <is>
          <t>طبيب</t>
        </is>
      </c>
      <c r="C128" s="5" t="inlineStr">
        <is>
          <t>طبيب استشاري طب نووي</t>
        </is>
      </c>
      <c r="D128" s="32" t="n">
        <v>0</v>
      </c>
      <c r="E128" s="32" t="n">
        <v>0</v>
      </c>
      <c r="F128" s="32" t="n">
        <v>0</v>
      </c>
      <c r="G128" s="32" t="n">
        <v>0</v>
      </c>
      <c r="H128" s="32" t="n">
        <v>1</v>
      </c>
      <c r="I128" s="32" t="n">
        <v>2</v>
      </c>
      <c r="J128" s="32" t="n">
        <v>2</v>
      </c>
      <c r="K128" s="33">
        <f>IF(RMODE="تقريب لأعلى",ROUNDUP(P128,0),ROUND(P128,0))</f>
        <v/>
      </c>
      <c r="L128" s="34" t="n"/>
      <c r="M128" s="35">
        <f>L128-K128</f>
        <v/>
      </c>
      <c r="N128" s="36">
        <f>IF(K128=0,"",L128/K128)</f>
        <v/>
      </c>
      <c r="O128" s="37">
        <f>IF(K128=0,"لا ينطبق",IF(L128&gt;=K128,"مكتمل",IF(L128=0,"لا يوجد","عجز")))</f>
        <v/>
      </c>
      <c r="P128" s="38">
        <f>IF(CAP&lt;=$D$4,D128*CAP/$D$4,IF(CAP&gt;=$J$4,J128*CAP/$J$4,INDEX($D128:$J128,$D$3)+$E$3*(INDEX($D128:$J128,$D$3+1)-INDEX($D128:$J128,$D$3))))</f>
        <v/>
      </c>
      <c r="Q128" s="39" t="inlineStr"/>
    </row>
    <row r="129">
      <c r="A129" s="30" t="n">
        <v>125</v>
      </c>
      <c r="B129" s="31" t="inlineStr">
        <is>
          <t>طبيب</t>
        </is>
      </c>
      <c r="C129" s="5" t="inlineStr">
        <is>
          <t>طبيب أخصائي طب نووي</t>
        </is>
      </c>
      <c r="D129" s="32" t="n">
        <v>0</v>
      </c>
      <c r="E129" s="32" t="n">
        <v>0</v>
      </c>
      <c r="F129" s="32" t="n">
        <v>0</v>
      </c>
      <c r="G129" s="32" t="n">
        <v>0</v>
      </c>
      <c r="H129" s="32" t="n">
        <v>2</v>
      </c>
      <c r="I129" s="32" t="n">
        <v>4</v>
      </c>
      <c r="J129" s="32" t="n">
        <v>4</v>
      </c>
      <c r="K129" s="33">
        <f>IF(RMODE="تقريب لأعلى",ROUNDUP(P129,0),ROUND(P129,0))</f>
        <v/>
      </c>
      <c r="L129" s="34" t="n"/>
      <c r="M129" s="35">
        <f>L129-K129</f>
        <v/>
      </c>
      <c r="N129" s="36">
        <f>IF(K129=0,"",L129/K129)</f>
        <v/>
      </c>
      <c r="O129" s="37">
        <f>IF(K129=0,"لا ينطبق",IF(L129&gt;=K129,"مكتمل",IF(L129=0,"لا يوجد","عجز")))</f>
        <v/>
      </c>
      <c r="P129" s="38">
        <f>IF(CAP&lt;=$D$4,D129*CAP/$D$4,IF(CAP&gt;=$J$4,J129*CAP/$J$4,INDEX($D129:$J129,$D$3)+$E$3*(INDEX($D129:$J129,$D$3+1)-INDEX($D129:$J129,$D$3))))</f>
        <v/>
      </c>
      <c r="Q129" s="39" t="inlineStr"/>
    </row>
    <row r="130">
      <c r="A130" s="30" t="n">
        <v>126</v>
      </c>
      <c r="B130" s="31" t="inlineStr">
        <is>
          <t>طبيب</t>
        </is>
      </c>
      <c r="C130" s="5" t="inlineStr">
        <is>
          <t>طبيب مقيم طب نووي</t>
        </is>
      </c>
      <c r="D130" s="32" t="n">
        <v>0</v>
      </c>
      <c r="E130" s="32" t="n">
        <v>0</v>
      </c>
      <c r="F130" s="32" t="n">
        <v>0</v>
      </c>
      <c r="G130" s="32" t="n">
        <v>0</v>
      </c>
      <c r="H130" s="32" t="n">
        <v>2</v>
      </c>
      <c r="I130" s="32" t="n">
        <v>4</v>
      </c>
      <c r="J130" s="32" t="n">
        <v>4</v>
      </c>
      <c r="K130" s="33">
        <f>IF(RMODE="تقريب لأعلى",ROUNDUP(P130,0),ROUND(P130,0))</f>
        <v/>
      </c>
      <c r="L130" s="34" t="n"/>
      <c r="M130" s="35">
        <f>L130-K130</f>
        <v/>
      </c>
      <c r="N130" s="36">
        <f>IF(K130=0,"",L130/K130)</f>
        <v/>
      </c>
      <c r="O130" s="37">
        <f>IF(K130=0,"لا ينطبق",IF(L130&gt;=K130,"مكتمل",IF(L130=0,"لا يوجد","عجز")))</f>
        <v/>
      </c>
      <c r="P130" s="38">
        <f>IF(CAP&lt;=$D$4,D130*CAP/$D$4,IF(CAP&gt;=$J$4,J130*CAP/$J$4,INDEX($D130:$J130,$D$3)+$E$3*(INDEX($D130:$J130,$D$3+1)-INDEX($D130:$J130,$D$3))))</f>
        <v/>
      </c>
      <c r="Q130" s="39" t="inlineStr"/>
    </row>
    <row r="131">
      <c r="A131" s="30" t="n">
        <v>127</v>
      </c>
      <c r="B131" s="31" t="inlineStr">
        <is>
          <t>طبيب</t>
        </is>
      </c>
      <c r="C131" s="5" t="inlineStr">
        <is>
          <t>طبيب استشاري طب كبار السن (شيخوخة)</t>
        </is>
      </c>
      <c r="D131" s="32" t="n">
        <v>0</v>
      </c>
      <c r="E131" s="32" t="n">
        <v>0</v>
      </c>
      <c r="F131" s="32" t="n">
        <v>0</v>
      </c>
      <c r="G131" s="32" t="n">
        <v>0</v>
      </c>
      <c r="H131" s="32" t="n">
        <v>1</v>
      </c>
      <c r="I131" s="32" t="n">
        <v>1</v>
      </c>
      <c r="J131" s="32" t="n">
        <v>1</v>
      </c>
      <c r="K131" s="33">
        <f>IF(RMODE="تقريب لأعلى",ROUNDUP(P131,0),ROUND(P131,0))</f>
        <v/>
      </c>
      <c r="L131" s="34" t="n"/>
      <c r="M131" s="35">
        <f>L131-K131</f>
        <v/>
      </c>
      <c r="N131" s="36">
        <f>IF(K131=0,"",L131/K131)</f>
        <v/>
      </c>
      <c r="O131" s="37">
        <f>IF(K131=0,"لا ينطبق",IF(L131&gt;=K131,"مكتمل",IF(L131=0,"لا يوجد","عجز")))</f>
        <v/>
      </c>
      <c r="P131" s="38">
        <f>IF(CAP&lt;=$D$4,D131*CAP/$D$4,IF(CAP&gt;=$J$4,J131*CAP/$J$4,INDEX($D131:$J131,$D$3)+$E$3*(INDEX($D131:$J131,$D$3+1)-INDEX($D131:$J131,$D$3))))</f>
        <v/>
      </c>
      <c r="Q131" s="39" t="inlineStr"/>
    </row>
    <row r="132">
      <c r="A132" s="30" t="n">
        <v>128</v>
      </c>
      <c r="B132" s="31" t="inlineStr">
        <is>
          <t>طبيب</t>
        </is>
      </c>
      <c r="C132" s="5" t="inlineStr">
        <is>
          <t>طبيب استشاري مكافحة عدوى</t>
        </is>
      </c>
      <c r="D132" s="32" t="n">
        <v>0</v>
      </c>
      <c r="E132" s="32" t="n">
        <v>0</v>
      </c>
      <c r="F132" s="32" t="n">
        <v>0</v>
      </c>
      <c r="G132" s="32" t="n">
        <v>1</v>
      </c>
      <c r="H132" s="32" t="n">
        <v>1</v>
      </c>
      <c r="I132" s="32" t="n">
        <v>1</v>
      </c>
      <c r="J132" s="32" t="n">
        <v>2</v>
      </c>
      <c r="K132" s="33">
        <f>IF(RMODE="تقريب لأعلى",ROUNDUP(P132,0),ROUND(P132,0))</f>
        <v/>
      </c>
      <c r="L132" s="34" t="n"/>
      <c r="M132" s="35">
        <f>L132-K132</f>
        <v/>
      </c>
      <c r="N132" s="36">
        <f>IF(K132=0,"",L132/K132)</f>
        <v/>
      </c>
      <c r="O132" s="37">
        <f>IF(K132=0,"لا ينطبق",IF(L132&gt;=K132,"مكتمل",IF(L132=0,"لا يوجد","عجز")))</f>
        <v/>
      </c>
      <c r="P132" s="38">
        <f>IF(CAP&lt;=$D$4,D132*CAP/$D$4,IF(CAP&gt;=$J$4,J132*CAP/$J$4,INDEX($D132:$J132,$D$3)+$E$3*(INDEX($D132:$J132,$D$3+1)-INDEX($D132:$J132,$D$3))))</f>
        <v/>
      </c>
      <c r="Q132" s="39" t="inlineStr">
        <is>
          <t>إيضاح 7: تحتسب قوى عاملة خاصة لوظائف الجودة ومكافحة العدوى</t>
        </is>
      </c>
    </row>
    <row r="133">
      <c r="A133" s="30" t="n">
        <v>129</v>
      </c>
      <c r="B133" s="31" t="inlineStr">
        <is>
          <t>طبيب</t>
        </is>
      </c>
      <c r="C133" s="5" t="inlineStr">
        <is>
          <t>طبيب أخصائي مكافحة عدوى</t>
        </is>
      </c>
      <c r="D133" s="32" t="n">
        <v>1</v>
      </c>
      <c r="E133" s="32" t="n">
        <v>1</v>
      </c>
      <c r="F133" s="32" t="n">
        <v>1</v>
      </c>
      <c r="G133" s="32" t="n">
        <v>1</v>
      </c>
      <c r="H133" s="32" t="n">
        <v>1</v>
      </c>
      <c r="I133" s="32" t="n">
        <v>1</v>
      </c>
      <c r="J133" s="32" t="n">
        <v>1</v>
      </c>
      <c r="K133" s="33">
        <f>IF(RMODE="تقريب لأعلى",ROUNDUP(P133,0),ROUND(P133,0))</f>
        <v/>
      </c>
      <c r="L133" s="34" t="n"/>
      <c r="M133" s="35">
        <f>L133-K133</f>
        <v/>
      </c>
      <c r="N133" s="36">
        <f>IF(K133=0,"",L133/K133)</f>
        <v/>
      </c>
      <c r="O133" s="37">
        <f>IF(K133=0,"لا ينطبق",IF(L133&gt;=K133,"مكتمل",IF(L133=0,"لا يوجد","عجز")))</f>
        <v/>
      </c>
      <c r="P133" s="38">
        <f>IF(CAP&lt;=$D$4,D133*CAP/$D$4,IF(CAP&gt;=$J$4,J133*CAP/$J$4,INDEX($D133:$J133,$D$3)+$E$3*(INDEX($D133:$J133,$D$3+1)-INDEX($D133:$J133,$D$3))))</f>
        <v/>
      </c>
      <c r="Q133" s="39" t="inlineStr">
        <is>
          <t>إيضاح 7</t>
        </is>
      </c>
    </row>
    <row r="134">
      <c r="A134" s="30" t="n">
        <v>130</v>
      </c>
      <c r="B134" s="31" t="inlineStr">
        <is>
          <t>طبيب</t>
        </is>
      </c>
      <c r="C134" s="5" t="inlineStr">
        <is>
          <t>طبيب استشاري جودة</t>
        </is>
      </c>
      <c r="D134" s="32" t="n">
        <v>0</v>
      </c>
      <c r="E134" s="32" t="n">
        <v>0</v>
      </c>
      <c r="F134" s="32" t="n">
        <v>0</v>
      </c>
      <c r="G134" s="32" t="n">
        <v>1</v>
      </c>
      <c r="H134" s="32" t="n">
        <v>1</v>
      </c>
      <c r="I134" s="32" t="n">
        <v>1</v>
      </c>
      <c r="J134" s="32" t="n">
        <v>2</v>
      </c>
      <c r="K134" s="33">
        <f>IF(RMODE="تقريب لأعلى",ROUNDUP(P134,0),ROUND(P134,0))</f>
        <v/>
      </c>
      <c r="L134" s="34" t="n"/>
      <c r="M134" s="35">
        <f>L134-K134</f>
        <v/>
      </c>
      <c r="N134" s="36">
        <f>IF(K134=0,"",L134/K134)</f>
        <v/>
      </c>
      <c r="O134" s="37">
        <f>IF(K134=0,"لا ينطبق",IF(L134&gt;=K134,"مكتمل",IF(L134=0,"لا يوجد","عجز")))</f>
        <v/>
      </c>
      <c r="P134" s="38">
        <f>IF(CAP&lt;=$D$4,D134*CAP/$D$4,IF(CAP&gt;=$J$4,J134*CAP/$J$4,INDEX($D134:$J134,$D$3)+$E$3*(INDEX($D134:$J134,$D$3+1)-INDEX($D134:$J134,$D$3))))</f>
        <v/>
      </c>
      <c r="Q134" s="39" t="inlineStr">
        <is>
          <t>إيضاح 7</t>
        </is>
      </c>
    </row>
    <row r="135">
      <c r="A135" s="30" t="n">
        <v>131</v>
      </c>
      <c r="B135" s="31" t="inlineStr">
        <is>
          <t>طبيب</t>
        </is>
      </c>
      <c r="C135" s="5" t="inlineStr">
        <is>
          <t>طبيب أخصائي جودة</t>
        </is>
      </c>
      <c r="D135" s="32" t="n">
        <v>1</v>
      </c>
      <c r="E135" s="32" t="n">
        <v>1</v>
      </c>
      <c r="F135" s="32" t="n">
        <v>1</v>
      </c>
      <c r="G135" s="32" t="n">
        <v>1</v>
      </c>
      <c r="H135" s="32" t="n">
        <v>1</v>
      </c>
      <c r="I135" s="32" t="n">
        <v>1</v>
      </c>
      <c r="J135" s="32" t="n">
        <v>1</v>
      </c>
      <c r="K135" s="33">
        <f>IF(RMODE="تقريب لأعلى",ROUNDUP(P135,0),ROUND(P135,0))</f>
        <v/>
      </c>
      <c r="L135" s="34" t="n"/>
      <c r="M135" s="35">
        <f>L135-K135</f>
        <v/>
      </c>
      <c r="N135" s="36">
        <f>IF(K135=0,"",L135/K135)</f>
        <v/>
      </c>
      <c r="O135" s="37">
        <f>IF(K135=0,"لا ينطبق",IF(L135&gt;=K135,"مكتمل",IF(L135=0,"لا يوجد","عجز")))</f>
        <v/>
      </c>
      <c r="P135" s="38">
        <f>IF(CAP&lt;=$D$4,D135*CAP/$D$4,IF(CAP&gt;=$J$4,J135*CAP/$J$4,INDEX($D135:$J135,$D$3)+$E$3*(INDEX($D135:$J135,$D$3+1)-INDEX($D135:$J135,$D$3))))</f>
        <v/>
      </c>
      <c r="Q135" s="39" t="inlineStr">
        <is>
          <t>إيضاح 7</t>
        </is>
      </c>
    </row>
    <row r="136">
      <c r="A136" s="30" t="n">
        <v>132</v>
      </c>
      <c r="B136" s="31" t="inlineStr">
        <is>
          <t>طبيب</t>
        </is>
      </c>
      <c r="C136" s="5" t="inlineStr">
        <is>
          <t>طبيب استشاري جراحة وجه وفكين</t>
        </is>
      </c>
      <c r="D136" s="32" t="n">
        <v>0</v>
      </c>
      <c r="E136" s="32" t="n">
        <v>0</v>
      </c>
      <c r="F136" s="32" t="n">
        <v>1</v>
      </c>
      <c r="G136" s="32" t="n">
        <v>1</v>
      </c>
      <c r="H136" s="32" t="n">
        <v>2</v>
      </c>
      <c r="I136" s="32" t="n">
        <v>2</v>
      </c>
      <c r="J136" s="32" t="n">
        <v>2</v>
      </c>
      <c r="K136" s="33">
        <f>IF(RMODE="تقريب لأعلى",ROUNDUP(P136,0),ROUND(P136,0))</f>
        <v/>
      </c>
      <c r="L136" s="34" t="n"/>
      <c r="M136" s="35">
        <f>L136-K136</f>
        <v/>
      </c>
      <c r="N136" s="36">
        <f>IF(K136=0,"",L136/K136)</f>
        <v/>
      </c>
      <c r="O136" s="37">
        <f>IF(K136=0,"لا ينطبق",IF(L136&gt;=K136,"مكتمل",IF(L136=0,"لا يوجد","عجز")))</f>
        <v/>
      </c>
      <c r="P136" s="38">
        <f>IF(CAP&lt;=$D$4,D136*CAP/$D$4,IF(CAP&gt;=$J$4,J136*CAP/$J$4,INDEX($D136:$J136,$D$3)+$E$3*(INDEX($D136:$J136,$D$3+1)-INDEX($D136:$J136,$D$3))))</f>
        <v/>
      </c>
      <c r="Q136" s="39" t="inlineStr">
        <is>
          <t>قسم الأسنان — إيضاح 12: تقتصر خدمات طب الأسنان على وحدة جراحة الفم والوجه والفكين</t>
        </is>
      </c>
    </row>
    <row r="137">
      <c r="A137" s="30" t="n">
        <v>133</v>
      </c>
      <c r="B137" s="31" t="inlineStr">
        <is>
          <t>طبيب</t>
        </is>
      </c>
      <c r="C137" s="5" t="inlineStr">
        <is>
          <t>طبيب أخصائي جراحة وجه وفكين</t>
        </is>
      </c>
      <c r="D137" s="32" t="n">
        <v>0</v>
      </c>
      <c r="E137" s="32" t="n">
        <v>1</v>
      </c>
      <c r="F137" s="32" t="n">
        <v>1</v>
      </c>
      <c r="G137" s="32" t="n">
        <v>1</v>
      </c>
      <c r="H137" s="32" t="n">
        <v>2</v>
      </c>
      <c r="I137" s="32" t="n">
        <v>2</v>
      </c>
      <c r="J137" s="32" t="n">
        <v>2</v>
      </c>
      <c r="K137" s="33">
        <f>IF(RMODE="تقريب لأعلى",ROUNDUP(P137,0),ROUND(P137,0))</f>
        <v/>
      </c>
      <c r="L137" s="34" t="n"/>
      <c r="M137" s="35">
        <f>L137-K137</f>
        <v/>
      </c>
      <c r="N137" s="36">
        <f>IF(K137=0,"",L137/K137)</f>
        <v/>
      </c>
      <c r="O137" s="37">
        <f>IF(K137=0,"لا ينطبق",IF(L137&gt;=K137,"مكتمل",IF(L137=0,"لا يوجد","عجز")))</f>
        <v/>
      </c>
      <c r="P137" s="38">
        <f>IF(CAP&lt;=$D$4,D137*CAP/$D$4,IF(CAP&gt;=$J$4,J137*CAP/$J$4,INDEX($D137:$J137,$D$3)+$E$3*(INDEX($D137:$J137,$D$3+1)-INDEX($D137:$J137,$D$3))))</f>
        <v/>
      </c>
      <c r="Q137" s="39" t="inlineStr">
        <is>
          <t>قسم الأسنان — إيضاح 12</t>
        </is>
      </c>
    </row>
    <row r="138">
      <c r="A138" s="30" t="n">
        <v>134</v>
      </c>
      <c r="B138" s="31" t="inlineStr">
        <is>
          <t>طبيب</t>
        </is>
      </c>
      <c r="C138" s="5" t="inlineStr">
        <is>
          <t>طبيب مقيم أسنان</t>
        </is>
      </c>
      <c r="D138" s="32" t="n">
        <v>1</v>
      </c>
      <c r="E138" s="32" t="n">
        <v>1</v>
      </c>
      <c r="F138" s="32" t="n">
        <v>1</v>
      </c>
      <c r="G138" s="32" t="n">
        <v>1</v>
      </c>
      <c r="H138" s="32" t="n">
        <v>2</v>
      </c>
      <c r="I138" s="32" t="n">
        <v>2</v>
      </c>
      <c r="J138" s="32" t="n">
        <v>2</v>
      </c>
      <c r="K138" s="33">
        <f>IF(RMODE="تقريب لأعلى",ROUNDUP(P138,0),ROUND(P138,0))</f>
        <v/>
      </c>
      <c r="L138" s="34" t="n"/>
      <c r="M138" s="35">
        <f>L138-K138</f>
        <v/>
      </c>
      <c r="N138" s="36">
        <f>IF(K138=0,"",L138/K138)</f>
        <v/>
      </c>
      <c r="O138" s="37">
        <f>IF(K138=0,"لا ينطبق",IF(L138&gt;=K138,"مكتمل",IF(L138=0,"لا يوجد","عجز")))</f>
        <v/>
      </c>
      <c r="P138" s="38">
        <f>IF(CAP&lt;=$D$4,D138*CAP/$D$4,IF(CAP&gt;=$J$4,J138*CAP/$J$4,INDEX($D138:$J138,$D$3)+$E$3*(INDEX($D138:$J138,$D$3+1)-INDEX($D138:$J138,$D$3))))</f>
        <v/>
      </c>
      <c r="Q138" s="39" t="inlineStr">
        <is>
          <t>قسم الأسنان — إيضاح 12</t>
        </is>
      </c>
    </row>
    <row r="139">
      <c r="A139" s="30" t="n">
        <v>135</v>
      </c>
      <c r="B139" s="31" t="inlineStr">
        <is>
          <t>طبيب</t>
        </is>
      </c>
      <c r="C139" s="5" t="inlineStr">
        <is>
          <t>طبيب استشاري باثولوجيا إكلينيكية</t>
        </is>
      </c>
      <c r="D139" s="32" t="n">
        <v>0</v>
      </c>
      <c r="E139" s="32" t="n">
        <v>1</v>
      </c>
      <c r="F139" s="32" t="n">
        <v>1</v>
      </c>
      <c r="G139" s="32" t="n">
        <v>1</v>
      </c>
      <c r="H139" s="32" t="n">
        <v>1</v>
      </c>
      <c r="I139" s="32" t="n">
        <v>1</v>
      </c>
      <c r="J139" s="32" t="n">
        <v>1</v>
      </c>
      <c r="K139" s="33">
        <f>IF(RMODE="تقريب لأعلى",ROUNDUP(P139,0),ROUND(P139,0))</f>
        <v/>
      </c>
      <c r="L139" s="34" t="n"/>
      <c r="M139" s="35">
        <f>L139-K139</f>
        <v/>
      </c>
      <c r="N139" s="36">
        <f>IF(K139=0,"",L139/K139)</f>
        <v/>
      </c>
      <c r="O139" s="37">
        <f>IF(K139=0,"لا ينطبق",IF(L139&gt;=K139,"مكتمل",IF(L139=0,"لا يوجد","عجز")))</f>
        <v/>
      </c>
      <c r="P139" s="38">
        <f>IF(CAP&lt;=$D$4,D139*CAP/$D$4,IF(CAP&gt;=$J$4,J139*CAP/$J$4,INDEX($D139:$J139,$D$3)+$E$3*(INDEX($D139:$J139,$D$3+1)-INDEX($D139:$J139,$D$3))))</f>
        <v/>
      </c>
      <c r="Q139" s="39" t="inlineStr">
        <is>
          <t>المختبر وبنك الدم</t>
        </is>
      </c>
    </row>
    <row r="140">
      <c r="A140" s="30" t="n">
        <v>136</v>
      </c>
      <c r="B140" s="31" t="inlineStr">
        <is>
          <t>طبيب</t>
        </is>
      </c>
      <c r="C140" s="5" t="inlineStr">
        <is>
          <t>طبيب أخصائي / أخصائي أول باثولوجيا إكلينيكية</t>
        </is>
      </c>
      <c r="D140" s="32" t="n">
        <v>1</v>
      </c>
      <c r="E140" s="32" t="n">
        <v>1</v>
      </c>
      <c r="F140" s="32" t="n">
        <v>1</v>
      </c>
      <c r="G140" s="32" t="n">
        <v>1</v>
      </c>
      <c r="H140" s="32" t="n">
        <v>2</v>
      </c>
      <c r="I140" s="32" t="n">
        <v>2</v>
      </c>
      <c r="J140" s="32" t="n">
        <v>3</v>
      </c>
      <c r="K140" s="33">
        <f>IF(RMODE="تقريب لأعلى",ROUNDUP(P140,0),ROUND(P140,0))</f>
        <v/>
      </c>
      <c r="L140" s="34" t="n"/>
      <c r="M140" s="35">
        <f>L140-K140</f>
        <v/>
      </c>
      <c r="N140" s="36">
        <f>IF(K140=0,"",L140/K140)</f>
        <v/>
      </c>
      <c r="O140" s="37">
        <f>IF(K140=0,"لا ينطبق",IF(L140&gt;=K140,"مكتمل",IF(L140=0,"لا يوجد","عجز")))</f>
        <v/>
      </c>
      <c r="P140" s="38">
        <f>IF(CAP&lt;=$D$4,D140*CAP/$D$4,IF(CAP&gt;=$J$4,J140*CAP/$J$4,INDEX($D140:$J140,$D$3)+$E$3*(INDEX($D140:$J140,$D$3+1)-INDEX($D140:$J140,$D$3))))</f>
        <v/>
      </c>
      <c r="Q140" s="39" t="inlineStr">
        <is>
          <t>المختبر وبنك الدم</t>
        </is>
      </c>
    </row>
    <row r="141">
      <c r="A141" s="30" t="n">
        <v>137</v>
      </c>
      <c r="B141" s="31" t="inlineStr">
        <is>
          <t>طبيب</t>
        </is>
      </c>
      <c r="C141" s="5" t="inlineStr">
        <is>
          <t>طبيب استشاري هيماتولوجي</t>
        </is>
      </c>
      <c r="D141" s="32" t="n">
        <v>0</v>
      </c>
      <c r="E141" s="32" t="n">
        <v>0</v>
      </c>
      <c r="F141" s="32" t="n">
        <v>0</v>
      </c>
      <c r="G141" s="32" t="n">
        <v>1</v>
      </c>
      <c r="H141" s="32" t="n">
        <v>1</v>
      </c>
      <c r="I141" s="32" t="n">
        <v>1</v>
      </c>
      <c r="J141" s="32" t="n">
        <v>1</v>
      </c>
      <c r="K141" s="33">
        <f>IF(RMODE="تقريب لأعلى",ROUNDUP(P141,0),ROUND(P141,0))</f>
        <v/>
      </c>
      <c r="L141" s="34" t="n"/>
      <c r="M141" s="35">
        <f>L141-K141</f>
        <v/>
      </c>
      <c r="N141" s="36">
        <f>IF(K141=0,"",L141/K141)</f>
        <v/>
      </c>
      <c r="O141" s="37">
        <f>IF(K141=0,"لا ينطبق",IF(L141&gt;=K141,"مكتمل",IF(L141=0,"لا يوجد","عجز")))</f>
        <v/>
      </c>
      <c r="P141" s="38">
        <f>IF(CAP&lt;=$D$4,D141*CAP/$D$4,IF(CAP&gt;=$J$4,J141*CAP/$J$4,INDEX($D141:$J141,$D$3)+$E$3*(INDEX($D141:$J141,$D$3+1)-INDEX($D141:$J141,$D$3))))</f>
        <v/>
      </c>
      <c r="Q141" s="39" t="inlineStr">
        <is>
          <t>المختبر وبنك الدم</t>
        </is>
      </c>
    </row>
    <row r="142">
      <c r="A142" s="30" t="n">
        <v>138</v>
      </c>
      <c r="B142" s="31" t="inlineStr">
        <is>
          <t>طبيب</t>
        </is>
      </c>
      <c r="C142" s="5" t="inlineStr">
        <is>
          <t>طبيب أخصائي / أخصائي أول هيماتولوجي</t>
        </is>
      </c>
      <c r="D142" s="32" t="n">
        <v>0</v>
      </c>
      <c r="E142" s="32" t="n">
        <v>1</v>
      </c>
      <c r="F142" s="32" t="n">
        <v>1</v>
      </c>
      <c r="G142" s="32" t="n">
        <v>1</v>
      </c>
      <c r="H142" s="32" t="n">
        <v>1</v>
      </c>
      <c r="I142" s="32" t="n">
        <v>1</v>
      </c>
      <c r="J142" s="32" t="n">
        <v>1</v>
      </c>
      <c r="K142" s="33">
        <f>IF(RMODE="تقريب لأعلى",ROUNDUP(P142,0),ROUND(P142,0))</f>
        <v/>
      </c>
      <c r="L142" s="34" t="n"/>
      <c r="M142" s="35">
        <f>L142-K142</f>
        <v/>
      </c>
      <c r="N142" s="36">
        <f>IF(K142=0,"",L142/K142)</f>
        <v/>
      </c>
      <c r="O142" s="37">
        <f>IF(K142=0,"لا ينطبق",IF(L142&gt;=K142,"مكتمل",IF(L142=0,"لا يوجد","عجز")))</f>
        <v/>
      </c>
      <c r="P142" s="38">
        <f>IF(CAP&lt;=$D$4,D142*CAP/$D$4,IF(CAP&gt;=$J$4,J142*CAP/$J$4,INDEX($D142:$J142,$D$3)+$E$3*(INDEX($D142:$J142,$D$3+1)-INDEX($D142:$J142,$D$3))))</f>
        <v/>
      </c>
      <c r="Q142" s="39" t="inlineStr">
        <is>
          <t>المختبر وبنك الدم</t>
        </is>
      </c>
    </row>
    <row r="143">
      <c r="A143" s="30" t="n">
        <v>139</v>
      </c>
      <c r="B143" s="31" t="inlineStr">
        <is>
          <t>طبيب</t>
        </is>
      </c>
      <c r="C143" s="5" t="inlineStr">
        <is>
          <t>طبيب استشاري كيمياء حيوية</t>
        </is>
      </c>
      <c r="D143" s="32" t="n">
        <v>0</v>
      </c>
      <c r="E143" s="32" t="n">
        <v>0</v>
      </c>
      <c r="F143" s="32" t="n">
        <v>1</v>
      </c>
      <c r="G143" s="32" t="n">
        <v>1</v>
      </c>
      <c r="H143" s="32" t="n">
        <v>1</v>
      </c>
      <c r="I143" s="32" t="n">
        <v>1</v>
      </c>
      <c r="J143" s="32" t="n">
        <v>1</v>
      </c>
      <c r="K143" s="33">
        <f>IF(RMODE="تقريب لأعلى",ROUNDUP(P143,0),ROUND(P143,0))</f>
        <v/>
      </c>
      <c r="L143" s="34" t="n"/>
      <c r="M143" s="35">
        <f>L143-K143</f>
        <v/>
      </c>
      <c r="N143" s="36">
        <f>IF(K143=0,"",L143/K143)</f>
        <v/>
      </c>
      <c r="O143" s="37">
        <f>IF(K143=0,"لا ينطبق",IF(L143&gt;=K143,"مكتمل",IF(L143=0,"لا يوجد","عجز")))</f>
        <v/>
      </c>
      <c r="P143" s="38">
        <f>IF(CAP&lt;=$D$4,D143*CAP/$D$4,IF(CAP&gt;=$J$4,J143*CAP/$J$4,INDEX($D143:$J143,$D$3)+$E$3*(INDEX($D143:$J143,$D$3+1)-INDEX($D143:$J143,$D$3))))</f>
        <v/>
      </c>
      <c r="Q143" s="39" t="inlineStr">
        <is>
          <t>المختبر وبنك الدم</t>
        </is>
      </c>
    </row>
    <row r="144">
      <c r="A144" s="30" t="n">
        <v>140</v>
      </c>
      <c r="B144" s="31" t="inlineStr">
        <is>
          <t>طبيب</t>
        </is>
      </c>
      <c r="C144" s="5" t="inlineStr">
        <is>
          <t>طبيب أخصائي / أخصائي أول كيمياء حيوية</t>
        </is>
      </c>
      <c r="D144" s="32" t="n">
        <v>0</v>
      </c>
      <c r="E144" s="32" t="n">
        <v>1</v>
      </c>
      <c r="F144" s="32" t="n">
        <v>1</v>
      </c>
      <c r="G144" s="32" t="n">
        <v>1</v>
      </c>
      <c r="H144" s="32" t="n">
        <v>1</v>
      </c>
      <c r="I144" s="32" t="n">
        <v>1</v>
      </c>
      <c r="J144" s="32" t="n">
        <v>1</v>
      </c>
      <c r="K144" s="33">
        <f>IF(RMODE="تقريب لأعلى",ROUNDUP(P144,0),ROUND(P144,0))</f>
        <v/>
      </c>
      <c r="L144" s="34" t="n"/>
      <c r="M144" s="35">
        <f>L144-K144</f>
        <v/>
      </c>
      <c r="N144" s="36">
        <f>IF(K144=0,"",L144/K144)</f>
        <v/>
      </c>
      <c r="O144" s="37">
        <f>IF(K144=0,"لا ينطبق",IF(L144&gt;=K144,"مكتمل",IF(L144=0,"لا يوجد","عجز")))</f>
        <v/>
      </c>
      <c r="P144" s="38">
        <f>IF(CAP&lt;=$D$4,D144*CAP/$D$4,IF(CAP&gt;=$J$4,J144*CAP/$J$4,INDEX($D144:$J144,$D$3)+$E$3*(INDEX($D144:$J144,$D$3+1)-INDEX($D144:$J144,$D$3))))</f>
        <v/>
      </c>
      <c r="Q144" s="39" t="inlineStr">
        <is>
          <t>المختبر وبنك الدم</t>
        </is>
      </c>
    </row>
    <row r="145">
      <c r="A145" s="30" t="n">
        <v>141</v>
      </c>
      <c r="B145" s="31" t="inlineStr">
        <is>
          <t>طبيب</t>
        </is>
      </c>
      <c r="C145" s="5" t="inlineStr">
        <is>
          <t>طبيب استشاري بنك دم</t>
        </is>
      </c>
      <c r="D145" s="32" t="n">
        <v>0</v>
      </c>
      <c r="E145" s="32" t="n">
        <v>0</v>
      </c>
      <c r="F145" s="32" t="n">
        <v>0</v>
      </c>
      <c r="G145" s="32" t="n">
        <v>0</v>
      </c>
      <c r="H145" s="32" t="n">
        <v>1</v>
      </c>
      <c r="I145" s="32" t="n">
        <v>1</v>
      </c>
      <c r="J145" s="32" t="n">
        <v>2</v>
      </c>
      <c r="K145" s="33">
        <f>IF(RMODE="تقريب لأعلى",ROUNDUP(P145,0),ROUND(P145,0))</f>
        <v/>
      </c>
      <c r="L145" s="34" t="n"/>
      <c r="M145" s="35">
        <f>L145-K145</f>
        <v/>
      </c>
      <c r="N145" s="36">
        <f>IF(K145=0,"",L145/K145)</f>
        <v/>
      </c>
      <c r="O145" s="37">
        <f>IF(K145=0,"لا ينطبق",IF(L145&gt;=K145,"مكتمل",IF(L145=0,"لا يوجد","عجز")))</f>
        <v/>
      </c>
      <c r="P145" s="38">
        <f>IF(CAP&lt;=$D$4,D145*CAP/$D$4,IF(CAP&gt;=$J$4,J145*CAP/$J$4,INDEX($D145:$J145,$D$3)+$E$3*(INDEX($D145:$J145,$D$3+1)-INDEX($D145:$J145,$D$3))))</f>
        <v/>
      </c>
      <c r="Q145" s="39" t="inlineStr">
        <is>
          <t>المختبر وبنك الدم</t>
        </is>
      </c>
    </row>
    <row r="146">
      <c r="A146" s="30" t="n">
        <v>142</v>
      </c>
      <c r="B146" s="31" t="inlineStr">
        <is>
          <t>طبيب</t>
        </is>
      </c>
      <c r="C146" s="5" t="inlineStr">
        <is>
          <t>طبيب أخصائي / أخصائي أول بنك دم</t>
        </is>
      </c>
      <c r="D146" s="32" t="n">
        <v>0</v>
      </c>
      <c r="E146" s="32" t="n">
        <v>1</v>
      </c>
      <c r="F146" s="32" t="n">
        <v>1</v>
      </c>
      <c r="G146" s="32" t="n">
        <v>1</v>
      </c>
      <c r="H146" s="32" t="n">
        <v>1</v>
      </c>
      <c r="I146" s="32" t="n">
        <v>1</v>
      </c>
      <c r="J146" s="32" t="n">
        <v>1</v>
      </c>
      <c r="K146" s="33">
        <f>IF(RMODE="تقريب لأعلى",ROUNDUP(P146,0),ROUND(P146,0))</f>
        <v/>
      </c>
      <c r="L146" s="34" t="n"/>
      <c r="M146" s="35">
        <f>L146-K146</f>
        <v/>
      </c>
      <c r="N146" s="36">
        <f>IF(K146=0,"",L146/K146)</f>
        <v/>
      </c>
      <c r="O146" s="37">
        <f>IF(K146=0,"لا ينطبق",IF(L146&gt;=K146,"مكتمل",IF(L146=0,"لا يوجد","عجز")))</f>
        <v/>
      </c>
      <c r="P146" s="38">
        <f>IF(CAP&lt;=$D$4,D146*CAP/$D$4,IF(CAP&gt;=$J$4,J146*CAP/$J$4,INDEX($D146:$J146,$D$3)+$E$3*(INDEX($D146:$J146,$D$3+1)-INDEX($D146:$J146,$D$3))))</f>
        <v/>
      </c>
      <c r="Q146" s="39" t="inlineStr">
        <is>
          <t>المختبر وبنك الدم</t>
        </is>
      </c>
    </row>
    <row r="147">
      <c r="A147" s="30" t="n">
        <v>143</v>
      </c>
      <c r="B147" s="31" t="inlineStr">
        <is>
          <t>طبيب</t>
        </is>
      </c>
      <c r="C147" s="5" t="inlineStr">
        <is>
          <t>طبيب استشاري جراثيم</t>
        </is>
      </c>
      <c r="D147" s="32" t="n">
        <v>0</v>
      </c>
      <c r="E147" s="32" t="n">
        <v>0</v>
      </c>
      <c r="F147" s="32" t="n">
        <v>0</v>
      </c>
      <c r="G147" s="32" t="n">
        <v>1</v>
      </c>
      <c r="H147" s="32" t="n">
        <v>1</v>
      </c>
      <c r="I147" s="32" t="n">
        <v>1</v>
      </c>
      <c r="J147" s="32" t="n">
        <v>1</v>
      </c>
      <c r="K147" s="33">
        <f>IF(RMODE="تقريب لأعلى",ROUNDUP(P147,0),ROUND(P147,0))</f>
        <v/>
      </c>
      <c r="L147" s="34" t="n"/>
      <c r="M147" s="35">
        <f>L147-K147</f>
        <v/>
      </c>
      <c r="N147" s="36">
        <f>IF(K147=0,"",L147/K147)</f>
        <v/>
      </c>
      <c r="O147" s="37">
        <f>IF(K147=0,"لا ينطبق",IF(L147&gt;=K147,"مكتمل",IF(L147=0,"لا يوجد","عجز")))</f>
        <v/>
      </c>
      <c r="P147" s="38">
        <f>IF(CAP&lt;=$D$4,D147*CAP/$D$4,IF(CAP&gt;=$J$4,J147*CAP/$J$4,INDEX($D147:$J147,$D$3)+$E$3*(INDEX($D147:$J147,$D$3+1)-INDEX($D147:$J147,$D$3))))</f>
        <v/>
      </c>
      <c r="Q147" s="39" t="inlineStr">
        <is>
          <t>المختبر وبنك الدم</t>
        </is>
      </c>
    </row>
    <row r="148">
      <c r="A148" s="30" t="n">
        <v>144</v>
      </c>
      <c r="B148" s="31" t="inlineStr">
        <is>
          <t>طبيب</t>
        </is>
      </c>
      <c r="C148" s="5" t="inlineStr">
        <is>
          <t>طبيب أخصائي / أخصائي أول جراثيم</t>
        </is>
      </c>
      <c r="D148" s="32" t="n">
        <v>0</v>
      </c>
      <c r="E148" s="32" t="n">
        <v>1</v>
      </c>
      <c r="F148" s="32" t="n">
        <v>1</v>
      </c>
      <c r="G148" s="32" t="n">
        <v>1</v>
      </c>
      <c r="H148" s="32" t="n">
        <v>1</v>
      </c>
      <c r="I148" s="32" t="n">
        <v>1</v>
      </c>
      <c r="J148" s="32" t="n">
        <v>1</v>
      </c>
      <c r="K148" s="33">
        <f>IF(RMODE="تقريب لأعلى",ROUNDUP(P148,0),ROUND(P148,0))</f>
        <v/>
      </c>
      <c r="L148" s="34" t="n"/>
      <c r="M148" s="35">
        <f>L148-K148</f>
        <v/>
      </c>
      <c r="N148" s="36">
        <f>IF(K148=0,"",L148/K148)</f>
        <v/>
      </c>
      <c r="O148" s="37">
        <f>IF(K148=0,"لا ينطبق",IF(L148&gt;=K148,"مكتمل",IF(L148=0,"لا يوجد","عجز")))</f>
        <v/>
      </c>
      <c r="P148" s="38">
        <f>IF(CAP&lt;=$D$4,D148*CAP/$D$4,IF(CAP&gt;=$J$4,J148*CAP/$J$4,INDEX($D148:$J148,$D$3)+$E$3*(INDEX($D148:$J148,$D$3+1)-INDEX($D148:$J148,$D$3))))</f>
        <v/>
      </c>
      <c r="Q148" s="39" t="inlineStr">
        <is>
          <t>المختبر وبنك الدم</t>
        </is>
      </c>
    </row>
    <row r="149">
      <c r="A149" s="30" t="n">
        <v>145</v>
      </c>
      <c r="B149" s="31" t="inlineStr">
        <is>
          <t>طبيب</t>
        </is>
      </c>
      <c r="C149" s="5" t="inlineStr">
        <is>
          <t>طبيب استشاري فيروسات</t>
        </is>
      </c>
      <c r="D149" s="32" t="n">
        <v>0</v>
      </c>
      <c r="E149" s="32" t="n">
        <v>0</v>
      </c>
      <c r="F149" s="32" t="n">
        <v>0</v>
      </c>
      <c r="G149" s="32" t="n">
        <v>0</v>
      </c>
      <c r="H149" s="32" t="n">
        <v>0</v>
      </c>
      <c r="I149" s="32" t="n">
        <v>1</v>
      </c>
      <c r="J149" s="32" t="n">
        <v>1</v>
      </c>
      <c r="K149" s="33">
        <f>IF(RMODE="تقريب لأعلى",ROUNDUP(P149,0),ROUND(P149,0))</f>
        <v/>
      </c>
      <c r="L149" s="34" t="n"/>
      <c r="M149" s="35">
        <f>L149-K149</f>
        <v/>
      </c>
      <c r="N149" s="36">
        <f>IF(K149=0,"",L149/K149)</f>
        <v/>
      </c>
      <c r="O149" s="37">
        <f>IF(K149=0,"لا ينطبق",IF(L149&gt;=K149,"مكتمل",IF(L149=0,"لا يوجد","عجز")))</f>
        <v/>
      </c>
      <c r="P149" s="38">
        <f>IF(CAP&lt;=$D$4,D149*CAP/$D$4,IF(CAP&gt;=$J$4,J149*CAP/$J$4,INDEX($D149:$J149,$D$3)+$E$3*(INDEX($D149:$J149,$D$3+1)-INDEX($D149:$J149,$D$3))))</f>
        <v/>
      </c>
      <c r="Q149" s="39" t="inlineStr">
        <is>
          <t>المختبر وبنك الدم</t>
        </is>
      </c>
    </row>
    <row r="150">
      <c r="A150" s="30" t="n">
        <v>146</v>
      </c>
      <c r="B150" s="31" t="inlineStr">
        <is>
          <t>طبيب</t>
        </is>
      </c>
      <c r="C150" s="5" t="inlineStr">
        <is>
          <t>طبيب أخصائي / أخصائي أول فيروسات</t>
        </is>
      </c>
      <c r="D150" s="32" t="n">
        <v>0</v>
      </c>
      <c r="E150" s="32" t="n">
        <v>0</v>
      </c>
      <c r="F150" s="32" t="n">
        <v>0</v>
      </c>
      <c r="G150" s="32" t="n">
        <v>0</v>
      </c>
      <c r="H150" s="32" t="n">
        <v>1</v>
      </c>
      <c r="I150" s="32" t="n">
        <v>1</v>
      </c>
      <c r="J150" s="32" t="n">
        <v>1</v>
      </c>
      <c r="K150" s="33">
        <f>IF(RMODE="تقريب لأعلى",ROUNDUP(P150,0),ROUND(P150,0))</f>
        <v/>
      </c>
      <c r="L150" s="34" t="n"/>
      <c r="M150" s="35">
        <f>L150-K150</f>
        <v/>
      </c>
      <c r="N150" s="36">
        <f>IF(K150=0,"",L150/K150)</f>
        <v/>
      </c>
      <c r="O150" s="37">
        <f>IF(K150=0,"لا ينطبق",IF(L150&gt;=K150,"مكتمل",IF(L150=0,"لا يوجد","عجز")))</f>
        <v/>
      </c>
      <c r="P150" s="38">
        <f>IF(CAP&lt;=$D$4,D150*CAP/$D$4,IF(CAP&gt;=$J$4,J150*CAP/$J$4,INDEX($D150:$J150,$D$3)+$E$3*(INDEX($D150:$J150,$D$3+1)-INDEX($D150:$J150,$D$3))))</f>
        <v/>
      </c>
      <c r="Q150" s="39" t="inlineStr">
        <is>
          <t>المختبر وبنك الدم</t>
        </is>
      </c>
    </row>
    <row r="151">
      <c r="A151" s="30" t="n">
        <v>147</v>
      </c>
      <c r="B151" s="31" t="inlineStr">
        <is>
          <t>طبيب</t>
        </is>
      </c>
      <c r="C151" s="5" t="inlineStr">
        <is>
          <t>طبيب استشاري طفيليات</t>
        </is>
      </c>
      <c r="D151" s="32" t="n">
        <v>0</v>
      </c>
      <c r="E151" s="32" t="n">
        <v>0</v>
      </c>
      <c r="F151" s="32" t="n">
        <v>0</v>
      </c>
      <c r="G151" s="32" t="n">
        <v>0</v>
      </c>
      <c r="H151" s="32" t="n">
        <v>0</v>
      </c>
      <c r="I151" s="32" t="n">
        <v>1</v>
      </c>
      <c r="J151" s="32" t="n">
        <v>1</v>
      </c>
      <c r="K151" s="33">
        <f>IF(RMODE="تقريب لأعلى",ROUNDUP(P151,0),ROUND(P151,0))</f>
        <v/>
      </c>
      <c r="L151" s="34" t="n"/>
      <c r="M151" s="35">
        <f>L151-K151</f>
        <v/>
      </c>
      <c r="N151" s="36">
        <f>IF(K151=0,"",L151/K151)</f>
        <v/>
      </c>
      <c r="O151" s="37">
        <f>IF(K151=0,"لا ينطبق",IF(L151&gt;=K151,"مكتمل",IF(L151=0,"لا يوجد","عجز")))</f>
        <v/>
      </c>
      <c r="P151" s="38">
        <f>IF(CAP&lt;=$D$4,D151*CAP/$D$4,IF(CAP&gt;=$J$4,J151*CAP/$J$4,INDEX($D151:$J151,$D$3)+$E$3*(INDEX($D151:$J151,$D$3+1)-INDEX($D151:$J151,$D$3))))</f>
        <v/>
      </c>
      <c r="Q151" s="39" t="inlineStr">
        <is>
          <t>المختبر وبنك الدم</t>
        </is>
      </c>
    </row>
    <row r="152">
      <c r="A152" s="30" t="n">
        <v>148</v>
      </c>
      <c r="B152" s="31" t="inlineStr">
        <is>
          <t>طبيب</t>
        </is>
      </c>
      <c r="C152" s="5" t="inlineStr">
        <is>
          <t>طبيب أخصائي / أخصائي أول طفيليات</t>
        </is>
      </c>
      <c r="D152" s="32" t="n">
        <v>0</v>
      </c>
      <c r="E152" s="32" t="n">
        <v>0</v>
      </c>
      <c r="F152" s="32" t="n">
        <v>0</v>
      </c>
      <c r="G152" s="32" t="n">
        <v>0</v>
      </c>
      <c r="H152" s="32" t="n">
        <v>1</v>
      </c>
      <c r="I152" s="32" t="n">
        <v>1</v>
      </c>
      <c r="J152" s="32" t="n">
        <v>1</v>
      </c>
      <c r="K152" s="33">
        <f>IF(RMODE="تقريب لأعلى",ROUNDUP(P152,0),ROUND(P152,0))</f>
        <v/>
      </c>
      <c r="L152" s="34" t="n"/>
      <c r="M152" s="35">
        <f>L152-K152</f>
        <v/>
      </c>
      <c r="N152" s="36">
        <f>IF(K152=0,"",L152/K152)</f>
        <v/>
      </c>
      <c r="O152" s="37">
        <f>IF(K152=0,"لا ينطبق",IF(L152&gt;=K152,"مكتمل",IF(L152=0,"لا يوجد","عجز")))</f>
        <v/>
      </c>
      <c r="P152" s="38">
        <f>IF(CAP&lt;=$D$4,D152*CAP/$D$4,IF(CAP&gt;=$J$4,J152*CAP/$J$4,INDEX($D152:$J152,$D$3)+$E$3*(INDEX($D152:$J152,$D$3+1)-INDEX($D152:$J152,$D$3))))</f>
        <v/>
      </c>
      <c r="Q152" s="39" t="inlineStr">
        <is>
          <t>المختبر وبنك الدم</t>
        </is>
      </c>
    </row>
    <row r="153">
      <c r="A153" s="30" t="n">
        <v>149</v>
      </c>
      <c r="B153" s="31" t="inlineStr">
        <is>
          <t>طبيب</t>
        </is>
      </c>
      <c r="C153" s="5" t="inlineStr">
        <is>
          <t>طبيب استشاري تشريح نسيجي</t>
        </is>
      </c>
      <c r="D153" s="32" t="n">
        <v>0</v>
      </c>
      <c r="E153" s="32" t="n">
        <v>0</v>
      </c>
      <c r="F153" s="32" t="n">
        <v>0</v>
      </c>
      <c r="G153" s="32" t="n">
        <v>1</v>
      </c>
      <c r="H153" s="32" t="n">
        <v>1</v>
      </c>
      <c r="I153" s="32" t="n">
        <v>1</v>
      </c>
      <c r="J153" s="32" t="n">
        <v>2</v>
      </c>
      <c r="K153" s="33">
        <f>IF(RMODE="تقريب لأعلى",ROUNDUP(P153,0),ROUND(P153,0))</f>
        <v/>
      </c>
      <c r="L153" s="34" t="n"/>
      <c r="M153" s="35">
        <f>L153-K153</f>
        <v/>
      </c>
      <c r="N153" s="36">
        <f>IF(K153=0,"",L153/K153)</f>
        <v/>
      </c>
      <c r="O153" s="37">
        <f>IF(K153=0,"لا ينطبق",IF(L153&gt;=K153,"مكتمل",IF(L153=0,"لا يوجد","عجز")))</f>
        <v/>
      </c>
      <c r="P153" s="38">
        <f>IF(CAP&lt;=$D$4,D153*CAP/$D$4,IF(CAP&gt;=$J$4,J153*CAP/$J$4,INDEX($D153:$J153,$D$3)+$E$3*(INDEX($D153:$J153,$D$3+1)-INDEX($D153:$J153,$D$3))))</f>
        <v/>
      </c>
      <c r="Q153" s="39" t="inlineStr">
        <is>
          <t>المختبر وبنك الدم</t>
        </is>
      </c>
    </row>
    <row r="154">
      <c r="A154" s="30" t="n">
        <v>150</v>
      </c>
      <c r="B154" s="31" t="inlineStr">
        <is>
          <t>طبيب</t>
        </is>
      </c>
      <c r="C154" s="5" t="inlineStr">
        <is>
          <t>طبيب أخصائي / أخصائي أول تشريح نسيجي</t>
        </is>
      </c>
      <c r="D154" s="32" t="n">
        <v>0</v>
      </c>
      <c r="E154" s="32" t="n">
        <v>0</v>
      </c>
      <c r="F154" s="32" t="n">
        <v>0</v>
      </c>
      <c r="G154" s="32" t="n">
        <v>0</v>
      </c>
      <c r="H154" s="32" t="n">
        <v>1</v>
      </c>
      <c r="I154" s="32" t="n">
        <v>2</v>
      </c>
      <c r="J154" s="32" t="n">
        <v>2</v>
      </c>
      <c r="K154" s="33">
        <f>IF(RMODE="تقريب لأعلى",ROUNDUP(P154,0),ROUND(P154,0))</f>
        <v/>
      </c>
      <c r="L154" s="34" t="n"/>
      <c r="M154" s="35">
        <f>L154-K154</f>
        <v/>
      </c>
      <c r="N154" s="36">
        <f>IF(K154=0,"",L154/K154)</f>
        <v/>
      </c>
      <c r="O154" s="37">
        <f>IF(K154=0,"لا ينطبق",IF(L154&gt;=K154,"مكتمل",IF(L154=0,"لا يوجد","عجز")))</f>
        <v/>
      </c>
      <c r="P154" s="38">
        <f>IF(CAP&lt;=$D$4,D154*CAP/$D$4,IF(CAP&gt;=$J$4,J154*CAP/$J$4,INDEX($D154:$J154,$D$3)+$E$3*(INDEX($D154:$J154,$D$3+1)-INDEX($D154:$J154,$D$3))))</f>
        <v/>
      </c>
      <c r="Q154" s="39" t="inlineStr">
        <is>
          <t>المختبر وبنك الدم</t>
        </is>
      </c>
    </row>
    <row r="155">
      <c r="A155" s="30" t="n">
        <v>151</v>
      </c>
      <c r="B155" s="31" t="inlineStr">
        <is>
          <t>طبيب</t>
        </is>
      </c>
      <c r="C155" s="5" t="inlineStr">
        <is>
          <t>طبيب استشاري مختبر مناعة</t>
        </is>
      </c>
      <c r="D155" s="32" t="n">
        <v>0</v>
      </c>
      <c r="E155" s="32" t="n">
        <v>0</v>
      </c>
      <c r="F155" s="32" t="n">
        <v>0</v>
      </c>
      <c r="G155" s="32" t="n">
        <v>0</v>
      </c>
      <c r="H155" s="32" t="n">
        <v>0</v>
      </c>
      <c r="I155" s="32" t="n">
        <v>1</v>
      </c>
      <c r="J155" s="32" t="n">
        <v>1</v>
      </c>
      <c r="K155" s="33">
        <f>IF(RMODE="تقريب لأعلى",ROUNDUP(P155,0),ROUND(P155,0))</f>
        <v/>
      </c>
      <c r="L155" s="34" t="n"/>
      <c r="M155" s="35">
        <f>L155-K155</f>
        <v/>
      </c>
      <c r="N155" s="36">
        <f>IF(K155=0,"",L155/K155)</f>
        <v/>
      </c>
      <c r="O155" s="37">
        <f>IF(K155=0,"لا ينطبق",IF(L155&gt;=K155,"مكتمل",IF(L155=0,"لا يوجد","عجز")))</f>
        <v/>
      </c>
      <c r="P155" s="38">
        <f>IF(CAP&lt;=$D$4,D155*CAP/$D$4,IF(CAP&gt;=$J$4,J155*CAP/$J$4,INDEX($D155:$J155,$D$3)+$E$3*(INDEX($D155:$J155,$D$3+1)-INDEX($D155:$J155,$D$3))))</f>
        <v/>
      </c>
      <c r="Q155" s="39" t="inlineStr">
        <is>
          <t>المختبر وبنك الدم</t>
        </is>
      </c>
    </row>
    <row r="156">
      <c r="A156" s="30" t="n">
        <v>152</v>
      </c>
      <c r="B156" s="31" t="inlineStr">
        <is>
          <t>طبيب</t>
        </is>
      </c>
      <c r="C156" s="5" t="inlineStr">
        <is>
          <t>طبيب أخصائي / أخصائي أول مختبر مناعة</t>
        </is>
      </c>
      <c r="D156" s="32" t="n">
        <v>0</v>
      </c>
      <c r="E156" s="32" t="n">
        <v>0</v>
      </c>
      <c r="F156" s="32" t="n">
        <v>0</v>
      </c>
      <c r="G156" s="32" t="n">
        <v>0</v>
      </c>
      <c r="H156" s="32" t="n">
        <v>0</v>
      </c>
      <c r="I156" s="32" t="n">
        <v>1</v>
      </c>
      <c r="J156" s="32" t="n">
        <v>1</v>
      </c>
      <c r="K156" s="33">
        <f>IF(RMODE="تقريب لأعلى",ROUNDUP(P156,0),ROUND(P156,0))</f>
        <v/>
      </c>
      <c r="L156" s="34" t="n"/>
      <c r="M156" s="35">
        <f>L156-K156</f>
        <v/>
      </c>
      <c r="N156" s="36">
        <f>IF(K156=0,"",L156/K156)</f>
        <v/>
      </c>
      <c r="O156" s="37">
        <f>IF(K156=0,"لا ينطبق",IF(L156&gt;=K156,"مكتمل",IF(L156=0,"لا يوجد","عجز")))</f>
        <v/>
      </c>
      <c r="P156" s="38">
        <f>IF(CAP&lt;=$D$4,D156*CAP/$D$4,IF(CAP&gt;=$J$4,J156*CAP/$J$4,INDEX($D156:$J156,$D$3)+$E$3*(INDEX($D156:$J156,$D$3+1)-INDEX($D156:$J156,$D$3))))</f>
        <v/>
      </c>
      <c r="Q156" s="39" t="inlineStr">
        <is>
          <t>المختبر وبنك الدم</t>
        </is>
      </c>
    </row>
    <row r="157">
      <c r="A157" s="40" t="n"/>
      <c r="B157" s="40" t="n"/>
      <c r="C157" s="40" t="inlineStr">
        <is>
          <t>المجموع (محسوب من الجدول)</t>
        </is>
      </c>
      <c r="D157" s="41">
        <f>SUM(D5:D156)</f>
        <v/>
      </c>
      <c r="E157" s="41">
        <f>SUM(E5:E156)</f>
        <v/>
      </c>
      <c r="F157" s="41">
        <f>SUM(F5:F156)</f>
        <v/>
      </c>
      <c r="G157" s="41">
        <f>SUM(G5:G156)</f>
        <v/>
      </c>
      <c r="H157" s="41">
        <f>SUM(H5:H156)</f>
        <v/>
      </c>
      <c r="I157" s="41">
        <f>SUM(I5:I156)</f>
        <v/>
      </c>
      <c r="J157" s="41">
        <f>SUM(J5:J156)</f>
        <v/>
      </c>
      <c r="K157" s="41">
        <f>SUM(K5:K156)</f>
        <v/>
      </c>
      <c r="L157" s="42">
        <f>SUM(L5:L156)</f>
        <v/>
      </c>
      <c r="M157" s="41">
        <f>SUM(M5:M156)</f>
        <v/>
      </c>
      <c r="N157" s="43">
        <f>IF(K157=0,"",L157/K157)</f>
        <v/>
      </c>
      <c r="O157" s="42" t="n"/>
      <c r="P157" s="42">
        <f>SUM(P5:P156)</f>
        <v/>
      </c>
      <c r="Q157" s="42" t="n"/>
    </row>
    <row r="158">
      <c r="A158" s="44" t="n"/>
      <c r="B158" s="44" t="n"/>
      <c r="C158" s="44" t="inlineStr">
        <is>
          <t>المجموع المنشور في الدليل</t>
        </is>
      </c>
      <c r="D158" s="44" t="n">
        <v>84</v>
      </c>
      <c r="E158" s="44" t="n">
        <v>155</v>
      </c>
      <c r="F158" s="44" t="n">
        <v>230</v>
      </c>
      <c r="G158" s="44" t="n">
        <v>305</v>
      </c>
      <c r="H158" s="44" t="n">
        <v>464</v>
      </c>
      <c r="I158" s="44" t="n">
        <v>615</v>
      </c>
      <c r="J158" s="44" t="n">
        <v>754</v>
      </c>
    </row>
    <row r="159">
      <c r="A159" s="44" t="n"/>
      <c r="B159" s="44" t="n"/>
      <c r="C159" s="44" t="inlineStr">
        <is>
          <t>الفرق (محسوب − منشور)</t>
        </is>
      </c>
      <c r="D159" s="44">
        <f>D157-D158</f>
        <v/>
      </c>
      <c r="E159" s="44">
        <f>E157-E158</f>
        <v/>
      </c>
      <c r="F159" s="44">
        <f>F157-F158</f>
        <v/>
      </c>
      <c r="G159" s="44">
        <f>G157-G158</f>
        <v/>
      </c>
      <c r="H159" s="44">
        <f>H157-H158</f>
        <v/>
      </c>
      <c r="I159" s="44">
        <f>I157-I158</f>
        <v/>
      </c>
      <c r="J159" s="44">
        <f>J157-J158</f>
        <v/>
      </c>
    </row>
  </sheetData>
  <mergeCells count="2">
    <mergeCell ref="A2:Q2"/>
    <mergeCell ref="A1:Q1"/>
  </mergeCells>
  <conditionalFormatting sqref="O5:O156">
    <cfRule type="expression" priority="1" dxfId="0">
      <formula>OR(O5="عجز",O5="لا يوجد")</formula>
    </cfRule>
    <cfRule type="expression" priority="2" dxfId="1">
      <formula>O5="مكتمل"</formula>
    </cfRule>
  </conditionalFormatting>
  <pageMargins left="0.75" right="0.75" top="1" bottom="1" header="0.5" footer="0.5"/>
</worksheet>
</file>

<file path=xl/worksheets/sheet4.xml><?xml version="1.0" encoding="utf-8"?>
<worksheet xmlns="http://schemas.openxmlformats.org/spreadsheetml/2006/main">
  <sheetPr>
    <tabColor rgb="001F6F6B"/>
    <outlinePr summaryBelow="1" summaryRight="1"/>
    <pageSetUpPr/>
  </sheetPr>
  <dimension ref="A1:Q80"/>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2" customWidth="1" min="12" max="12"/>
    <col width="13" customWidth="1" min="13" max="13"/>
    <col width="10" customWidth="1" min="14" max="14"/>
    <col width="11" customWidth="1" min="15" max="15"/>
    <col width="11" customWidth="1" min="16" max="16"/>
    <col width="42" customWidth="1" min="17" max="17"/>
  </cols>
  <sheetData>
    <row r="1" ht="30" customHeight="1">
      <c r="A1" s="1" t="inlineStr">
        <is>
          <t>عام - أخصائي غير طبيب</t>
        </is>
      </c>
    </row>
    <row r="2" ht="20" customHeight="1">
      <c r="A2" s="2" t="inlineStr">
        <is>
          <t>الملحق (1) — أخصائي غير طبيب، ويشمل التمريض والقبالة (صفحات 26-27)</t>
        </is>
      </c>
    </row>
    <row r="3">
      <c r="C3" s="25" t="inlineStr">
        <is>
          <t>معاملا الاستيفاء ◄</t>
        </is>
      </c>
      <c r="D3" s="26">
        <f>IFERROR(MATCH(CAP,$D$4:$J$4,1),1)</f>
        <v/>
      </c>
      <c r="E3" s="27">
        <f>IF(OR(CAP&lt;=$D$4,CAP&gt;=$J$4),0,(CAP-INDEX($D$4:$J$4,$D$3))/(INDEX($D$4:$J$4,$D$3+1)-INDEX($D$4:$J$4,$D$3)))</f>
        <v/>
      </c>
    </row>
    <row r="4" ht="42" customHeight="1">
      <c r="A4" s="28" t="inlineStr">
        <is>
          <t>م</t>
        </is>
      </c>
      <c r="B4" s="28" t="inlineStr">
        <is>
          <t>الفئة</t>
        </is>
      </c>
      <c r="C4" s="28" t="inlineStr">
        <is>
          <t>المسمى الوظيفي</t>
        </is>
      </c>
      <c r="D4" s="29" t="n">
        <v>50</v>
      </c>
      <c r="E4" s="29" t="n">
        <v>100</v>
      </c>
      <c r="F4" s="29" t="n">
        <v>150</v>
      </c>
      <c r="G4" s="29" t="n">
        <v>200</v>
      </c>
      <c r="H4" s="29" t="n">
        <v>300</v>
      </c>
      <c r="I4" s="29" t="n">
        <v>400</v>
      </c>
      <c r="J4" s="29" t="n">
        <v>500</v>
      </c>
      <c r="K4" s="28" t="inlineStr">
        <is>
          <t>الاحتياج للسعة المدخلة</t>
        </is>
      </c>
      <c r="L4" s="28" t="inlineStr">
        <is>
          <t>الموجود فعلياً</t>
        </is>
      </c>
      <c r="M4" s="28" t="inlineStr">
        <is>
          <t>الفجوة (+فائض / -عجز)</t>
        </is>
      </c>
      <c r="N4" s="28" t="inlineStr">
        <is>
          <t>نسبة التغطية</t>
        </is>
      </c>
      <c r="O4" s="28" t="inlineStr">
        <is>
          <t>الحالة</t>
        </is>
      </c>
      <c r="P4" s="28" t="inlineStr">
        <is>
          <t>القيمة قبل التقريب</t>
        </is>
      </c>
      <c r="Q4" s="28" t="inlineStr">
        <is>
          <t>ملاحظات</t>
        </is>
      </c>
    </row>
    <row r="5">
      <c r="A5" s="30" t="n">
        <v>1</v>
      </c>
      <c r="B5" s="31" t="inlineStr">
        <is>
          <t>أخصائي غير طبيب</t>
        </is>
      </c>
      <c r="C5" s="5" t="inlineStr">
        <is>
          <t>أخصائي أشعة</t>
        </is>
      </c>
      <c r="D5" s="32" t="n">
        <v>9</v>
      </c>
      <c r="E5" s="32" t="n">
        <v>22</v>
      </c>
      <c r="F5" s="32" t="n">
        <v>42</v>
      </c>
      <c r="G5" s="32" t="n">
        <v>42</v>
      </c>
      <c r="H5" s="32" t="n">
        <v>70</v>
      </c>
      <c r="I5" s="32" t="n">
        <v>108</v>
      </c>
      <c r="J5" s="32" t="n">
        <v>108</v>
      </c>
      <c r="K5" s="33">
        <f>IF(RMODE="تقريب لأعلى",ROUNDUP(P5,0),ROUND(P5,0))</f>
        <v/>
      </c>
      <c r="L5" s="34" t="n"/>
      <c r="M5" s="35">
        <f>L5-K5</f>
        <v/>
      </c>
      <c r="N5" s="36">
        <f>IF(K5=0,"",L5/K5)</f>
        <v/>
      </c>
      <c r="O5" s="37">
        <f>IF(K5=0,"لا ينطبق",IF(L5&gt;=K5,"مكتمل",IF(L5=0,"لا يوجد","عجز")))</f>
        <v/>
      </c>
      <c r="P5" s="38">
        <f>IF(CAP&lt;=$D$4,D5*CAP/$D$4,IF(CAP&gt;=$J$4,J5*CAP/$J$4,INDEX($D5:$J5,$D$3)+$E$3*(INDEX($D5:$J5,$D$3+1)-INDEX($D5:$J5,$D$3))))</f>
        <v/>
      </c>
      <c r="Q5" s="39" t="inlineStr"/>
    </row>
    <row r="6">
      <c r="A6" s="30" t="n">
        <v>2</v>
      </c>
      <c r="B6" s="31" t="inlineStr">
        <is>
          <t>أخصائي غير طبيب</t>
        </is>
      </c>
      <c r="C6" s="5" t="inlineStr">
        <is>
          <t>أخصائي أول أشعة</t>
        </is>
      </c>
      <c r="D6" s="32" t="n">
        <v>1</v>
      </c>
      <c r="E6" s="32" t="n">
        <v>4</v>
      </c>
      <c r="F6" s="32" t="n">
        <v>5</v>
      </c>
      <c r="G6" s="32" t="n">
        <v>5</v>
      </c>
      <c r="H6" s="32" t="n">
        <v>7</v>
      </c>
      <c r="I6" s="32" t="n">
        <v>12</v>
      </c>
      <c r="J6" s="32" t="n">
        <v>14</v>
      </c>
      <c r="K6" s="33">
        <f>IF(RMODE="تقريب لأعلى",ROUNDUP(P6,0),ROUND(P6,0))</f>
        <v/>
      </c>
      <c r="L6" s="34" t="n"/>
      <c r="M6" s="35">
        <f>L6-K6</f>
        <v/>
      </c>
      <c r="N6" s="36">
        <f>IF(K6=0,"",L6/K6)</f>
        <v/>
      </c>
      <c r="O6" s="37">
        <f>IF(K6=0,"لا ينطبق",IF(L6&gt;=K6,"مكتمل",IF(L6=0,"لا يوجد","عجز")))</f>
        <v/>
      </c>
      <c r="P6" s="38">
        <f>IF(CAP&lt;=$D$4,D6*CAP/$D$4,IF(CAP&gt;=$J$4,J6*CAP/$J$4,INDEX($D6:$J6,$D$3)+$E$3*(INDEX($D6:$J6,$D$3+1)-INDEX($D6:$J6,$D$3))))</f>
        <v/>
      </c>
      <c r="Q6" s="39" t="inlineStr"/>
    </row>
    <row r="7">
      <c r="A7" s="30" t="n">
        <v>3</v>
      </c>
      <c r="B7" s="31" t="inlineStr">
        <is>
          <t>أخصائي غير طبيب</t>
        </is>
      </c>
      <c r="C7" s="5" t="inlineStr">
        <is>
          <t>أخصائي استشاري أشعة</t>
        </is>
      </c>
      <c r="D7" s="32" t="n">
        <v>0</v>
      </c>
      <c r="E7" s="32" t="n">
        <v>0</v>
      </c>
      <c r="F7" s="32" t="n">
        <v>1</v>
      </c>
      <c r="G7" s="32" t="n">
        <v>2</v>
      </c>
      <c r="H7" s="32" t="n">
        <v>3</v>
      </c>
      <c r="I7" s="32" t="n">
        <v>8</v>
      </c>
      <c r="J7" s="32" t="n">
        <v>10</v>
      </c>
      <c r="K7" s="33">
        <f>IF(RMODE="تقريب لأعلى",ROUNDUP(P7,0),ROUND(P7,0))</f>
        <v/>
      </c>
      <c r="L7" s="34" t="n"/>
      <c r="M7" s="35">
        <f>L7-K7</f>
        <v/>
      </c>
      <c r="N7" s="36">
        <f>IF(K7=0,"",L7/K7)</f>
        <v/>
      </c>
      <c r="O7" s="37">
        <f>IF(K7=0,"لا ينطبق",IF(L7&gt;=K7,"مكتمل",IF(L7=0,"لا يوجد","عجز")))</f>
        <v/>
      </c>
      <c r="P7" s="38">
        <f>IF(CAP&lt;=$D$4,D7*CAP/$D$4,IF(CAP&gt;=$J$4,J7*CAP/$J$4,INDEX($D7:$J7,$D$3)+$E$3*(INDEX($D7:$J7,$D$3+1)-INDEX($D7:$J7,$D$3))))</f>
        <v/>
      </c>
      <c r="Q7" s="39" t="inlineStr"/>
    </row>
    <row r="8">
      <c r="A8" s="30" t="n">
        <v>4</v>
      </c>
      <c r="B8" s="31" t="inlineStr">
        <is>
          <t>أخصائي غير طبيب</t>
        </is>
      </c>
      <c r="C8" s="5" t="inlineStr">
        <is>
          <t>أخصائي طب نووي (غير طبيب)</t>
        </is>
      </c>
      <c r="D8" s="32" t="n">
        <v>0</v>
      </c>
      <c r="E8" s="32" t="n">
        <v>0</v>
      </c>
      <c r="F8" s="32" t="n">
        <v>0</v>
      </c>
      <c r="G8" s="32" t="n">
        <v>0</v>
      </c>
      <c r="H8" s="32" t="n">
        <v>4</v>
      </c>
      <c r="I8" s="32" t="n">
        <v>7</v>
      </c>
      <c r="J8" s="32" t="n">
        <v>7</v>
      </c>
      <c r="K8" s="33">
        <f>IF(RMODE="تقريب لأعلى",ROUNDUP(P8,0),ROUND(P8,0))</f>
        <v/>
      </c>
      <c r="L8" s="34" t="n"/>
      <c r="M8" s="35">
        <f>L8-K8</f>
        <v/>
      </c>
      <c r="N8" s="36">
        <f>IF(K8=0,"",L8/K8)</f>
        <v/>
      </c>
      <c r="O8" s="37">
        <f>IF(K8=0,"لا ينطبق",IF(L8&gt;=K8,"مكتمل",IF(L8=0,"لا يوجد","عجز")))</f>
        <v/>
      </c>
      <c r="P8" s="38">
        <f>IF(CAP&lt;=$D$4,D8*CAP/$D$4,IF(CAP&gt;=$J$4,J8*CAP/$J$4,INDEX($D8:$J8,$D$3)+$E$3*(INDEX($D8:$J8,$D$3+1)-INDEX($D8:$J8,$D$3))))</f>
        <v/>
      </c>
      <c r="Q8" s="39" t="inlineStr"/>
    </row>
    <row r="9">
      <c r="A9" s="30" t="n">
        <v>5</v>
      </c>
      <c r="B9" s="31" t="inlineStr">
        <is>
          <t>أخصائي غير طبيب</t>
        </is>
      </c>
      <c r="C9" s="5" t="inlineStr">
        <is>
          <t>أخصائي استشاري فيزياء طبية</t>
        </is>
      </c>
      <c r="D9" s="32" t="n">
        <v>0</v>
      </c>
      <c r="E9" s="32" t="n">
        <v>0</v>
      </c>
      <c r="F9" s="32" t="n">
        <v>0</v>
      </c>
      <c r="G9" s="32" t="n">
        <v>1</v>
      </c>
      <c r="H9" s="32" t="n">
        <v>1</v>
      </c>
      <c r="I9" s="32" t="n">
        <v>2</v>
      </c>
      <c r="J9" s="32" t="n">
        <v>2</v>
      </c>
      <c r="K9" s="33">
        <f>IF(RMODE="تقريب لأعلى",ROUNDUP(P9,0),ROUND(P9,0))</f>
        <v/>
      </c>
      <c r="L9" s="34" t="n"/>
      <c r="M9" s="35">
        <f>L9-K9</f>
        <v/>
      </c>
      <c r="N9" s="36">
        <f>IF(K9=0,"",L9/K9)</f>
        <v/>
      </c>
      <c r="O9" s="37">
        <f>IF(K9=0,"لا ينطبق",IF(L9&gt;=K9,"مكتمل",IF(L9=0,"لا يوجد","عجز")))</f>
        <v/>
      </c>
      <c r="P9" s="38">
        <f>IF(CAP&lt;=$D$4,D9*CAP/$D$4,IF(CAP&gt;=$J$4,J9*CAP/$J$4,INDEX($D9:$J9,$D$3)+$E$3*(INDEX($D9:$J9,$D$3+1)-INDEX($D9:$J9,$D$3))))</f>
        <v/>
      </c>
      <c r="Q9" s="39" t="inlineStr"/>
    </row>
    <row r="10">
      <c r="A10" s="30" t="n">
        <v>6</v>
      </c>
      <c r="B10" s="31" t="inlineStr">
        <is>
          <t>أخصائي غير طبيب</t>
        </is>
      </c>
      <c r="C10" s="5" t="inlineStr">
        <is>
          <t>أخصائي أول فيزياء طبية</t>
        </is>
      </c>
      <c r="D10" s="32" t="n">
        <v>0</v>
      </c>
      <c r="E10" s="32" t="n">
        <v>0</v>
      </c>
      <c r="F10" s="32" t="n">
        <v>1</v>
      </c>
      <c r="G10" s="32" t="n">
        <v>1</v>
      </c>
      <c r="H10" s="32" t="n">
        <v>1</v>
      </c>
      <c r="I10" s="32" t="n">
        <v>2</v>
      </c>
      <c r="J10" s="32" t="n">
        <v>2</v>
      </c>
      <c r="K10" s="33">
        <f>IF(RMODE="تقريب لأعلى",ROUNDUP(P10,0),ROUND(P10,0))</f>
        <v/>
      </c>
      <c r="L10" s="34" t="n"/>
      <c r="M10" s="35">
        <f>L10-K10</f>
        <v/>
      </c>
      <c r="N10" s="36">
        <f>IF(K10=0,"",L10/K10)</f>
        <v/>
      </c>
      <c r="O10" s="37">
        <f>IF(K10=0,"لا ينطبق",IF(L10&gt;=K10,"مكتمل",IF(L10=0,"لا يوجد","عجز")))</f>
        <v/>
      </c>
      <c r="P10" s="38">
        <f>IF(CAP&lt;=$D$4,D10*CAP/$D$4,IF(CAP&gt;=$J$4,J10*CAP/$J$4,INDEX($D10:$J10,$D$3)+$E$3*(INDEX($D10:$J10,$D$3+1)-INDEX($D10:$J10,$D$3))))</f>
        <v/>
      </c>
      <c r="Q10" s="39" t="inlineStr"/>
    </row>
    <row r="11">
      <c r="A11" s="30" t="n">
        <v>7</v>
      </c>
      <c r="B11" s="31" t="inlineStr">
        <is>
          <t>أخصائي غير طبيب</t>
        </is>
      </c>
      <c r="C11" s="5" t="inlineStr">
        <is>
          <t>أخصائي فيزياء طبية</t>
        </is>
      </c>
      <c r="D11" s="32" t="n">
        <v>1</v>
      </c>
      <c r="E11" s="32" t="n">
        <v>2</v>
      </c>
      <c r="F11" s="32" t="n">
        <v>2</v>
      </c>
      <c r="G11" s="32" t="n">
        <v>3</v>
      </c>
      <c r="H11" s="32" t="n">
        <v>3</v>
      </c>
      <c r="I11" s="32" t="n">
        <v>3</v>
      </c>
      <c r="J11" s="32" t="n">
        <v>3</v>
      </c>
      <c r="K11" s="33">
        <f>IF(RMODE="تقريب لأعلى",ROUNDUP(P11,0),ROUND(P11,0))</f>
        <v/>
      </c>
      <c r="L11" s="34" t="n"/>
      <c r="M11" s="35">
        <f>L11-K11</f>
        <v/>
      </c>
      <c r="N11" s="36">
        <f>IF(K11=0,"",L11/K11)</f>
        <v/>
      </c>
      <c r="O11" s="37">
        <f>IF(K11=0,"لا ينطبق",IF(L11&gt;=K11,"مكتمل",IF(L11=0,"لا يوجد","عجز")))</f>
        <v/>
      </c>
      <c r="P11" s="38">
        <f>IF(CAP&lt;=$D$4,D11*CAP/$D$4,IF(CAP&gt;=$J$4,J11*CAP/$J$4,INDEX($D11:$J11,$D$3)+$E$3*(INDEX($D11:$J11,$D$3+1)-INDEX($D11:$J11,$D$3))))</f>
        <v/>
      </c>
      <c r="Q11" s="39" t="inlineStr"/>
    </row>
    <row r="12">
      <c r="A12" s="30" t="n">
        <v>8</v>
      </c>
      <c r="B12" s="31" t="inlineStr">
        <is>
          <t>أخصائي غير طبيب</t>
        </is>
      </c>
      <c r="C12" s="5" t="inlineStr">
        <is>
          <t>أخصائي مختبر وبنك دم</t>
        </is>
      </c>
      <c r="D12" s="32" t="n">
        <v>6</v>
      </c>
      <c r="E12" s="32" t="n">
        <v>11</v>
      </c>
      <c r="F12" s="32" t="n">
        <v>18</v>
      </c>
      <c r="G12" s="32" t="n">
        <v>20</v>
      </c>
      <c r="H12" s="32" t="n">
        <v>22</v>
      </c>
      <c r="I12" s="32" t="n">
        <v>32</v>
      </c>
      <c r="J12" s="32" t="n">
        <v>45</v>
      </c>
      <c r="K12" s="33">
        <f>IF(RMODE="تقريب لأعلى",ROUNDUP(P12,0),ROUND(P12,0))</f>
        <v/>
      </c>
      <c r="L12" s="34" t="n"/>
      <c r="M12" s="35">
        <f>L12-K12</f>
        <v/>
      </c>
      <c r="N12" s="36">
        <f>IF(K12=0,"",L12/K12)</f>
        <v/>
      </c>
      <c r="O12" s="37">
        <f>IF(K12=0,"لا ينطبق",IF(L12&gt;=K12,"مكتمل",IF(L12=0,"لا يوجد","عجز")))</f>
        <v/>
      </c>
      <c r="P12" s="38">
        <f>IF(CAP&lt;=$D$4,D12*CAP/$D$4,IF(CAP&gt;=$J$4,J12*CAP/$J$4,INDEX($D12:$J12,$D$3)+$E$3*(INDEX($D12:$J12,$D$3+1)-INDEX($D12:$J12,$D$3))))</f>
        <v/>
      </c>
      <c r="Q12" s="39" t="inlineStr"/>
    </row>
    <row r="13">
      <c r="A13" s="30" t="n">
        <v>9</v>
      </c>
      <c r="B13" s="31" t="inlineStr">
        <is>
          <t>أخصائي غير طبيب</t>
        </is>
      </c>
      <c r="C13" s="5" t="inlineStr">
        <is>
          <t>أخصائي أول مختبر وبنك دم</t>
        </is>
      </c>
      <c r="D13" s="32" t="n">
        <v>4</v>
      </c>
      <c r="E13" s="32" t="n">
        <v>5</v>
      </c>
      <c r="F13" s="32" t="n">
        <v>6</v>
      </c>
      <c r="G13" s="32" t="n">
        <v>8</v>
      </c>
      <c r="H13" s="32" t="n">
        <v>10</v>
      </c>
      <c r="I13" s="32" t="n">
        <v>10</v>
      </c>
      <c r="J13" s="32" t="n">
        <v>15</v>
      </c>
      <c r="K13" s="33">
        <f>IF(RMODE="تقريب لأعلى",ROUNDUP(P13,0),ROUND(P13,0))</f>
        <v/>
      </c>
      <c r="L13" s="34" t="n"/>
      <c r="M13" s="35">
        <f>L13-K13</f>
        <v/>
      </c>
      <c r="N13" s="36">
        <f>IF(K13=0,"",L13/K13)</f>
        <v/>
      </c>
      <c r="O13" s="37">
        <f>IF(K13=0,"لا ينطبق",IF(L13&gt;=K13,"مكتمل",IF(L13=0,"لا يوجد","عجز")))</f>
        <v/>
      </c>
      <c r="P13" s="38">
        <f>IF(CAP&lt;=$D$4,D13*CAP/$D$4,IF(CAP&gt;=$J$4,J13*CAP/$J$4,INDEX($D13:$J13,$D$3)+$E$3*(INDEX($D13:$J13,$D$3+1)-INDEX($D13:$J13,$D$3))))</f>
        <v/>
      </c>
      <c r="Q13" s="39" t="inlineStr"/>
    </row>
    <row r="14">
      <c r="A14" s="30" t="n">
        <v>10</v>
      </c>
      <c r="B14" s="31" t="inlineStr">
        <is>
          <t>أخصائي غير طبيب</t>
        </is>
      </c>
      <c r="C14" s="5" t="inlineStr">
        <is>
          <t>أخصائي استشاري مختبر وبنك دم</t>
        </is>
      </c>
      <c r="D14" s="32" t="n">
        <v>0</v>
      </c>
      <c r="E14" s="32" t="n">
        <v>1</v>
      </c>
      <c r="F14" s="32" t="n">
        <v>1</v>
      </c>
      <c r="G14" s="32" t="n">
        <v>2</v>
      </c>
      <c r="H14" s="32" t="n">
        <v>3</v>
      </c>
      <c r="I14" s="32" t="n">
        <v>5</v>
      </c>
      <c r="J14" s="32" t="n">
        <v>10</v>
      </c>
      <c r="K14" s="33">
        <f>IF(RMODE="تقريب لأعلى",ROUNDUP(P14,0),ROUND(P14,0))</f>
        <v/>
      </c>
      <c r="L14" s="34" t="n"/>
      <c r="M14" s="35">
        <f>L14-K14</f>
        <v/>
      </c>
      <c r="N14" s="36">
        <f>IF(K14=0,"",L14/K14)</f>
        <v/>
      </c>
      <c r="O14" s="37">
        <f>IF(K14=0,"لا ينطبق",IF(L14&gt;=K14,"مكتمل",IF(L14=0,"لا يوجد","عجز")))</f>
        <v/>
      </c>
      <c r="P14" s="38">
        <f>IF(CAP&lt;=$D$4,D14*CAP/$D$4,IF(CAP&gt;=$J$4,J14*CAP/$J$4,INDEX($D14:$J14,$D$3)+$E$3*(INDEX($D14:$J14,$D$3+1)-INDEX($D14:$J14,$D$3))))</f>
        <v/>
      </c>
      <c r="Q14" s="39" t="inlineStr"/>
    </row>
    <row r="15">
      <c r="A15" s="30" t="n">
        <v>11</v>
      </c>
      <c r="B15" s="31" t="inlineStr">
        <is>
          <t>أخصائي غير طبيب</t>
        </is>
      </c>
      <c r="C15" s="5" t="inlineStr">
        <is>
          <t>أخصائي مختبر أجنة</t>
        </is>
      </c>
      <c r="D15" s="32" t="n">
        <v>0</v>
      </c>
      <c r="E15" s="32" t="n">
        <v>0</v>
      </c>
      <c r="F15" s="32" t="n">
        <v>0</v>
      </c>
      <c r="G15" s="32" t="n">
        <v>1</v>
      </c>
      <c r="H15" s="32" t="n">
        <v>1</v>
      </c>
      <c r="I15" s="32" t="n">
        <v>2</v>
      </c>
      <c r="J15" s="32" t="n">
        <v>3</v>
      </c>
      <c r="K15" s="33">
        <f>IF(RMODE="تقريب لأعلى",ROUNDUP(P15,0),ROUND(P15,0))</f>
        <v/>
      </c>
      <c r="L15" s="34" t="n"/>
      <c r="M15" s="35">
        <f>L15-K15</f>
        <v/>
      </c>
      <c r="N15" s="36">
        <f>IF(K15=0,"",L15/K15)</f>
        <v/>
      </c>
      <c r="O15" s="37">
        <f>IF(K15=0,"لا ينطبق",IF(L15&gt;=K15,"مكتمل",IF(L15=0,"لا يوجد","عجز")))</f>
        <v/>
      </c>
      <c r="P15" s="38">
        <f>IF(CAP&lt;=$D$4,D15*CAP/$D$4,IF(CAP&gt;=$J$4,J15*CAP/$J$4,INDEX($D15:$J15,$D$3)+$E$3*(INDEX($D15:$J15,$D$3+1)-INDEX($D15:$J15,$D$3))))</f>
        <v/>
      </c>
      <c r="Q15" s="39" t="inlineStr">
        <is>
          <t>إيضاح 39: مرتبط باعتماد مركز للعقم</t>
        </is>
      </c>
    </row>
    <row r="16">
      <c r="A16" s="30" t="n">
        <v>12</v>
      </c>
      <c r="B16" s="31" t="inlineStr">
        <is>
          <t>أخصائي غير طبيب</t>
        </is>
      </c>
      <c r="C16" s="5" t="inlineStr">
        <is>
          <t>أخصائي علاج طبيعي</t>
        </is>
      </c>
      <c r="D16" s="32" t="n">
        <v>4</v>
      </c>
      <c r="E16" s="32" t="n">
        <v>6</v>
      </c>
      <c r="F16" s="32" t="n">
        <v>9</v>
      </c>
      <c r="G16" s="32" t="n">
        <v>12</v>
      </c>
      <c r="H16" s="32" t="n">
        <v>18</v>
      </c>
      <c r="I16" s="32" t="n">
        <v>24</v>
      </c>
      <c r="J16" s="32" t="n">
        <v>30</v>
      </c>
      <c r="K16" s="33">
        <f>IF(RMODE="تقريب لأعلى",ROUNDUP(P16,0),ROUND(P16,0))</f>
        <v/>
      </c>
      <c r="L16" s="34" t="n"/>
      <c r="M16" s="35">
        <f>L16-K16</f>
        <v/>
      </c>
      <c r="N16" s="36">
        <f>IF(K16=0,"",L16/K16)</f>
        <v/>
      </c>
      <c r="O16" s="37">
        <f>IF(K16=0,"لا ينطبق",IF(L16&gt;=K16,"مكتمل",IF(L16=0,"لا يوجد","عجز")))</f>
        <v/>
      </c>
      <c r="P16" s="38">
        <f>IF(CAP&lt;=$D$4,D16*CAP/$D$4,IF(CAP&gt;=$J$4,J16*CAP/$J$4,INDEX($D16:$J16,$D$3)+$E$3*(INDEX($D16:$J16,$D$3+1)-INDEX($D16:$J16,$D$3))))</f>
        <v/>
      </c>
      <c r="Q16" s="39" t="inlineStr"/>
    </row>
    <row r="17">
      <c r="A17" s="30" t="n">
        <v>13</v>
      </c>
      <c r="B17" s="31" t="inlineStr">
        <is>
          <t>أخصائي غير طبيب</t>
        </is>
      </c>
      <c r="C17" s="5" t="inlineStr">
        <is>
          <t>أخصائي أول علاج طبيعي</t>
        </is>
      </c>
      <c r="D17" s="32" t="n">
        <v>1</v>
      </c>
      <c r="E17" s="32" t="n">
        <v>2</v>
      </c>
      <c r="F17" s="32" t="n">
        <v>3</v>
      </c>
      <c r="G17" s="32" t="n">
        <v>4</v>
      </c>
      <c r="H17" s="32" t="n">
        <v>5</v>
      </c>
      <c r="I17" s="32" t="n">
        <v>8</v>
      </c>
      <c r="J17" s="32" t="n">
        <v>10</v>
      </c>
      <c r="K17" s="33">
        <f>IF(RMODE="تقريب لأعلى",ROUNDUP(P17,0),ROUND(P17,0))</f>
        <v/>
      </c>
      <c r="L17" s="34" t="n"/>
      <c r="M17" s="35">
        <f>L17-K17</f>
        <v/>
      </c>
      <c r="N17" s="36">
        <f>IF(K17=0,"",L17/K17)</f>
        <v/>
      </c>
      <c r="O17" s="37">
        <f>IF(K17=0,"لا ينطبق",IF(L17&gt;=K17,"مكتمل",IF(L17=0,"لا يوجد","عجز")))</f>
        <v/>
      </c>
      <c r="P17" s="38">
        <f>IF(CAP&lt;=$D$4,D17*CAP/$D$4,IF(CAP&gt;=$J$4,J17*CAP/$J$4,INDEX($D17:$J17,$D$3)+$E$3*(INDEX($D17:$J17,$D$3+1)-INDEX($D17:$J17,$D$3))))</f>
        <v/>
      </c>
      <c r="Q17" s="39" t="inlineStr"/>
    </row>
    <row r="18">
      <c r="A18" s="30" t="n">
        <v>14</v>
      </c>
      <c r="B18" s="31" t="inlineStr">
        <is>
          <t>أخصائي غير طبيب</t>
        </is>
      </c>
      <c r="C18" s="5" t="inlineStr">
        <is>
          <t>أخصائي استشاري علاج طبيعي</t>
        </is>
      </c>
      <c r="D18" s="32" t="n">
        <v>0</v>
      </c>
      <c r="E18" s="32" t="n">
        <v>1</v>
      </c>
      <c r="F18" s="32" t="n">
        <v>1</v>
      </c>
      <c r="G18" s="32" t="n">
        <v>2</v>
      </c>
      <c r="H18" s="32" t="n">
        <v>3</v>
      </c>
      <c r="I18" s="32" t="n">
        <v>4</v>
      </c>
      <c r="J18" s="32" t="n">
        <v>5</v>
      </c>
      <c r="K18" s="33">
        <f>IF(RMODE="تقريب لأعلى",ROUNDUP(P18,0),ROUND(P18,0))</f>
        <v/>
      </c>
      <c r="L18" s="34" t="n"/>
      <c r="M18" s="35">
        <f>L18-K18</f>
        <v/>
      </c>
      <c r="N18" s="36">
        <f>IF(K18=0,"",L18/K18)</f>
        <v/>
      </c>
      <c r="O18" s="37">
        <f>IF(K18=0,"لا ينطبق",IF(L18&gt;=K18,"مكتمل",IF(L18=0,"لا يوجد","عجز")))</f>
        <v/>
      </c>
      <c r="P18" s="38">
        <f>IF(CAP&lt;=$D$4,D18*CAP/$D$4,IF(CAP&gt;=$J$4,J18*CAP/$J$4,INDEX($D18:$J18,$D$3)+$E$3*(INDEX($D18:$J18,$D$3+1)-INDEX($D18:$J18,$D$3))))</f>
        <v/>
      </c>
      <c r="Q18" s="39" t="inlineStr"/>
    </row>
    <row r="19">
      <c r="A19" s="30" t="n">
        <v>15</v>
      </c>
      <c r="B19" s="31" t="inlineStr">
        <is>
          <t>أخصائي غير طبيب</t>
        </is>
      </c>
      <c r="C19" s="5" t="inlineStr">
        <is>
          <t>أخصائي علاج وظيفي</t>
        </is>
      </c>
      <c r="D19" s="32" t="n">
        <v>0</v>
      </c>
      <c r="E19" s="32" t="n">
        <v>2</v>
      </c>
      <c r="F19" s="32" t="n">
        <v>3</v>
      </c>
      <c r="G19" s="32" t="n">
        <v>4</v>
      </c>
      <c r="H19" s="32" t="n">
        <v>4</v>
      </c>
      <c r="I19" s="32" t="n">
        <v>6</v>
      </c>
      <c r="J19" s="32" t="n">
        <v>6</v>
      </c>
      <c r="K19" s="33">
        <f>IF(RMODE="تقريب لأعلى",ROUNDUP(P19,0),ROUND(P19,0))</f>
        <v/>
      </c>
      <c r="L19" s="34" t="n"/>
      <c r="M19" s="35">
        <f>L19-K19</f>
        <v/>
      </c>
      <c r="N19" s="36">
        <f>IF(K19=0,"",L19/K19)</f>
        <v/>
      </c>
      <c r="O19" s="37">
        <f>IF(K19=0,"لا ينطبق",IF(L19&gt;=K19,"مكتمل",IF(L19=0,"لا يوجد","عجز")))</f>
        <v/>
      </c>
      <c r="P19" s="38">
        <f>IF(CAP&lt;=$D$4,D19*CAP/$D$4,IF(CAP&gt;=$J$4,J19*CAP/$J$4,INDEX($D19:$J19,$D$3)+$E$3*(INDEX($D19:$J19,$D$3+1)-INDEX($D19:$J19,$D$3))))</f>
        <v/>
      </c>
      <c r="Q19" s="39" t="inlineStr"/>
    </row>
    <row r="20">
      <c r="A20" s="30" t="n">
        <v>16</v>
      </c>
      <c r="B20" s="31" t="inlineStr">
        <is>
          <t>أخصائي غير طبيب</t>
        </is>
      </c>
      <c r="C20" s="5" t="inlineStr">
        <is>
          <t>أخصائي أول علاج وظيفي</t>
        </is>
      </c>
      <c r="D20" s="32" t="n">
        <v>0</v>
      </c>
      <c r="E20" s="32" t="n">
        <v>0</v>
      </c>
      <c r="F20" s="32" t="n">
        <v>0</v>
      </c>
      <c r="G20" s="32" t="n">
        <v>1</v>
      </c>
      <c r="H20" s="32" t="n">
        <v>2</v>
      </c>
      <c r="I20" s="32" t="n">
        <v>3</v>
      </c>
      <c r="J20" s="32" t="n">
        <v>4</v>
      </c>
      <c r="K20" s="33">
        <f>IF(RMODE="تقريب لأعلى",ROUNDUP(P20,0),ROUND(P20,0))</f>
        <v/>
      </c>
      <c r="L20" s="34" t="n"/>
      <c r="M20" s="35">
        <f>L20-K20</f>
        <v/>
      </c>
      <c r="N20" s="36">
        <f>IF(K20=0,"",L20/K20)</f>
        <v/>
      </c>
      <c r="O20" s="37">
        <f>IF(K20=0,"لا ينطبق",IF(L20&gt;=K20,"مكتمل",IF(L20=0,"لا يوجد","عجز")))</f>
        <v/>
      </c>
      <c r="P20" s="38">
        <f>IF(CAP&lt;=$D$4,D20*CAP/$D$4,IF(CAP&gt;=$J$4,J20*CAP/$J$4,INDEX($D20:$J20,$D$3)+$E$3*(INDEX($D20:$J20,$D$3+1)-INDEX($D20:$J20,$D$3))))</f>
        <v/>
      </c>
      <c r="Q20" s="39" t="inlineStr"/>
    </row>
    <row r="21">
      <c r="A21" s="30" t="n">
        <v>17</v>
      </c>
      <c r="B21" s="31" t="inlineStr">
        <is>
          <t>أخصائي غير طبيب</t>
        </is>
      </c>
      <c r="C21" s="5" t="inlineStr">
        <is>
          <t>أخصائي استشاري علاج وظيفي</t>
        </is>
      </c>
      <c r="D21" s="32" t="n">
        <v>0</v>
      </c>
      <c r="E21" s="32" t="n">
        <v>0</v>
      </c>
      <c r="F21" s="32" t="n">
        <v>0</v>
      </c>
      <c r="G21" s="32" t="n">
        <v>0</v>
      </c>
      <c r="H21" s="32" t="n">
        <v>0</v>
      </c>
      <c r="I21" s="32" t="n">
        <v>1</v>
      </c>
      <c r="J21" s="32" t="n">
        <v>2</v>
      </c>
      <c r="K21" s="33">
        <f>IF(RMODE="تقريب لأعلى",ROUNDUP(P21,0),ROUND(P21,0))</f>
        <v/>
      </c>
      <c r="L21" s="34" t="n"/>
      <c r="M21" s="35">
        <f>L21-K21</f>
        <v/>
      </c>
      <c r="N21" s="36">
        <f>IF(K21=0,"",L21/K21)</f>
        <v/>
      </c>
      <c r="O21" s="37">
        <f>IF(K21=0,"لا ينطبق",IF(L21&gt;=K21,"مكتمل",IF(L21=0,"لا يوجد","عجز")))</f>
        <v/>
      </c>
      <c r="P21" s="38">
        <f>IF(CAP&lt;=$D$4,D21*CAP/$D$4,IF(CAP&gt;=$J$4,J21*CAP/$J$4,INDEX($D21:$J21,$D$3)+$E$3*(INDEX($D21:$J21,$D$3+1)-INDEX($D21:$J21,$D$3))))</f>
        <v/>
      </c>
      <c r="Q21" s="39" t="inlineStr"/>
    </row>
    <row r="22">
      <c r="A22" s="30" t="n">
        <v>18</v>
      </c>
      <c r="B22" s="31" t="inlineStr">
        <is>
          <t>أخصائي غير طبيب</t>
        </is>
      </c>
      <c r="C22" s="5" t="inlineStr">
        <is>
          <t>أخصائي أطراف صناعية</t>
        </is>
      </c>
      <c r="D22" s="32" t="n">
        <v>0</v>
      </c>
      <c r="E22" s="32" t="n">
        <v>0</v>
      </c>
      <c r="F22" s="32" t="n">
        <v>0</v>
      </c>
      <c r="G22" s="32" t="n">
        <v>0</v>
      </c>
      <c r="H22" s="32" t="n">
        <v>2</v>
      </c>
      <c r="I22" s="32" t="n">
        <v>3</v>
      </c>
      <c r="J22" s="32" t="n">
        <v>4</v>
      </c>
      <c r="K22" s="33">
        <f>IF(RMODE="تقريب لأعلى",ROUNDUP(P22,0),ROUND(P22,0))</f>
        <v/>
      </c>
      <c r="L22" s="34" t="n"/>
      <c r="M22" s="35">
        <f>L22-K22</f>
        <v/>
      </c>
      <c r="N22" s="36">
        <f>IF(K22=0,"",L22/K22)</f>
        <v/>
      </c>
      <c r="O22" s="37">
        <f>IF(K22=0,"لا ينطبق",IF(L22&gt;=K22,"مكتمل",IF(L22=0,"لا يوجد","عجز")))</f>
        <v/>
      </c>
      <c r="P22" s="38">
        <f>IF(CAP&lt;=$D$4,D22*CAP/$D$4,IF(CAP&gt;=$J$4,J22*CAP/$J$4,INDEX($D22:$J22,$D$3)+$E$3*(INDEX($D22:$J22,$D$3+1)-INDEX($D22:$J22,$D$3))))</f>
        <v/>
      </c>
      <c r="Q22" s="39" t="inlineStr"/>
    </row>
    <row r="23">
      <c r="A23" s="30" t="n">
        <v>19</v>
      </c>
      <c r="B23" s="31" t="inlineStr">
        <is>
          <t>أخصائي غير طبيب</t>
        </is>
      </c>
      <c r="C23" s="5" t="inlineStr">
        <is>
          <t>أخصائي أول أطراف صناعية</t>
        </is>
      </c>
      <c r="D23" s="32" t="n">
        <v>0</v>
      </c>
      <c r="E23" s="32" t="n">
        <v>0</v>
      </c>
      <c r="F23" s="32" t="n">
        <v>0</v>
      </c>
      <c r="G23" s="32" t="n">
        <v>0</v>
      </c>
      <c r="H23" s="32" t="n">
        <v>0</v>
      </c>
      <c r="I23" s="32" t="n">
        <v>1</v>
      </c>
      <c r="J23" s="32" t="n">
        <v>2</v>
      </c>
      <c r="K23" s="33">
        <f>IF(RMODE="تقريب لأعلى",ROUNDUP(P23,0),ROUND(P23,0))</f>
        <v/>
      </c>
      <c r="L23" s="34" t="n"/>
      <c r="M23" s="35">
        <f>L23-K23</f>
        <v/>
      </c>
      <c r="N23" s="36">
        <f>IF(K23=0,"",L23/K23)</f>
        <v/>
      </c>
      <c r="O23" s="37">
        <f>IF(K23=0,"لا ينطبق",IF(L23&gt;=K23,"مكتمل",IF(L23=0,"لا يوجد","عجز")))</f>
        <v/>
      </c>
      <c r="P23" s="38">
        <f>IF(CAP&lt;=$D$4,D23*CAP/$D$4,IF(CAP&gt;=$J$4,J23*CAP/$J$4,INDEX($D23:$J23,$D$3)+$E$3*(INDEX($D23:$J23,$D$3+1)-INDEX($D23:$J23,$D$3))))</f>
        <v/>
      </c>
      <c r="Q23" s="39" t="inlineStr"/>
    </row>
    <row r="24">
      <c r="A24" s="30" t="n">
        <v>20</v>
      </c>
      <c r="B24" s="31" t="inlineStr">
        <is>
          <t>أخصائي غير طبيب</t>
        </is>
      </c>
      <c r="C24" s="5" t="inlineStr">
        <is>
          <t>أخصائي استشاري أطراف صناعية</t>
        </is>
      </c>
      <c r="D24" s="32" t="n">
        <v>0</v>
      </c>
      <c r="E24" s="32" t="n">
        <v>0</v>
      </c>
      <c r="F24" s="32" t="n">
        <v>0</v>
      </c>
      <c r="G24" s="32" t="n">
        <v>0</v>
      </c>
      <c r="H24" s="32" t="n">
        <v>0</v>
      </c>
      <c r="I24" s="32" t="n">
        <v>0</v>
      </c>
      <c r="J24" s="32" t="n">
        <v>1</v>
      </c>
      <c r="K24" s="33">
        <f>IF(RMODE="تقريب لأعلى",ROUNDUP(P24,0),ROUND(P24,0))</f>
        <v/>
      </c>
      <c r="L24" s="34" t="n"/>
      <c r="M24" s="35">
        <f>L24-K24</f>
        <v/>
      </c>
      <c r="N24" s="36">
        <f>IF(K24=0,"",L24/K24)</f>
        <v/>
      </c>
      <c r="O24" s="37">
        <f>IF(K24=0,"لا ينطبق",IF(L24&gt;=K24,"مكتمل",IF(L24=0,"لا يوجد","عجز")))</f>
        <v/>
      </c>
      <c r="P24" s="38">
        <f>IF(CAP&lt;=$D$4,D24*CAP/$D$4,IF(CAP&gt;=$J$4,J24*CAP/$J$4,INDEX($D24:$J24,$D$3)+$E$3*(INDEX($D24:$J24,$D$3+1)-INDEX($D24:$J24,$D$3))))</f>
        <v/>
      </c>
      <c r="Q24" s="39" t="inlineStr"/>
    </row>
    <row r="25">
      <c r="A25" s="30" t="n">
        <v>21</v>
      </c>
      <c r="B25" s="31" t="inlineStr">
        <is>
          <t>أخصائي غير طبيب</t>
        </is>
      </c>
      <c r="C25" s="5" t="inlineStr">
        <is>
          <t>أخصائي معالجة نطق (تخاطب)</t>
        </is>
      </c>
      <c r="D25" s="32" t="n">
        <v>0</v>
      </c>
      <c r="E25" s="32" t="n">
        <v>1</v>
      </c>
      <c r="F25" s="32" t="n">
        <v>1</v>
      </c>
      <c r="G25" s="32" t="n">
        <v>2</v>
      </c>
      <c r="H25" s="32" t="n">
        <v>4</v>
      </c>
      <c r="I25" s="32" t="n">
        <v>4</v>
      </c>
      <c r="J25" s="32" t="n">
        <v>6</v>
      </c>
      <c r="K25" s="33">
        <f>IF(RMODE="تقريب لأعلى",ROUNDUP(P25,0),ROUND(P25,0))</f>
        <v/>
      </c>
      <c r="L25" s="34" t="n"/>
      <c r="M25" s="35">
        <f>L25-K25</f>
        <v/>
      </c>
      <c r="N25" s="36">
        <f>IF(K25=0,"",L25/K25)</f>
        <v/>
      </c>
      <c r="O25" s="37">
        <f>IF(K25=0,"لا ينطبق",IF(L25&gt;=K25,"مكتمل",IF(L25=0,"لا يوجد","عجز")))</f>
        <v/>
      </c>
      <c r="P25" s="38">
        <f>IF(CAP&lt;=$D$4,D25*CAP/$D$4,IF(CAP&gt;=$J$4,J25*CAP/$J$4,INDEX($D25:$J25,$D$3)+$E$3*(INDEX($D25:$J25,$D$3+1)-INDEX($D25:$J25,$D$3))))</f>
        <v/>
      </c>
      <c r="Q25" s="39" t="inlineStr"/>
    </row>
    <row r="26">
      <c r="A26" s="30" t="n">
        <v>22</v>
      </c>
      <c r="B26" s="31" t="inlineStr">
        <is>
          <t>أخصائي غير طبيب</t>
        </is>
      </c>
      <c r="C26" s="5" t="inlineStr">
        <is>
          <t>أخصائي أول معالجة نطق (تخاطب)</t>
        </is>
      </c>
      <c r="D26" s="32" t="n">
        <v>0</v>
      </c>
      <c r="E26" s="32" t="n">
        <v>0</v>
      </c>
      <c r="F26" s="32" t="n">
        <v>0</v>
      </c>
      <c r="G26" s="32" t="n">
        <v>0</v>
      </c>
      <c r="H26" s="32" t="n">
        <v>2</v>
      </c>
      <c r="I26" s="32" t="n">
        <v>2</v>
      </c>
      <c r="J26" s="32" t="n">
        <v>4</v>
      </c>
      <c r="K26" s="33">
        <f>IF(RMODE="تقريب لأعلى",ROUNDUP(P26,0),ROUND(P26,0))</f>
        <v/>
      </c>
      <c r="L26" s="34" t="n"/>
      <c r="M26" s="35">
        <f>L26-K26</f>
        <v/>
      </c>
      <c r="N26" s="36">
        <f>IF(K26=0,"",L26/K26)</f>
        <v/>
      </c>
      <c r="O26" s="37">
        <f>IF(K26=0,"لا ينطبق",IF(L26&gt;=K26,"مكتمل",IF(L26=0,"لا يوجد","عجز")))</f>
        <v/>
      </c>
      <c r="P26" s="38">
        <f>IF(CAP&lt;=$D$4,D26*CAP/$D$4,IF(CAP&gt;=$J$4,J26*CAP/$J$4,INDEX($D26:$J26,$D$3)+$E$3*(INDEX($D26:$J26,$D$3+1)-INDEX($D26:$J26,$D$3))))</f>
        <v/>
      </c>
      <c r="Q26" s="39" t="inlineStr"/>
    </row>
    <row r="27">
      <c r="A27" s="30" t="n">
        <v>23</v>
      </c>
      <c r="B27" s="31" t="inlineStr">
        <is>
          <t>أخصائي غير طبيب</t>
        </is>
      </c>
      <c r="C27" s="5" t="inlineStr">
        <is>
          <t>أخصائي استشاري معالجة نطق (تخاطب)</t>
        </is>
      </c>
      <c r="D27" s="32" t="n">
        <v>0</v>
      </c>
      <c r="E27" s="32" t="n">
        <v>0</v>
      </c>
      <c r="F27" s="32" t="n">
        <v>0</v>
      </c>
      <c r="G27" s="32" t="n">
        <v>0</v>
      </c>
      <c r="H27" s="32" t="n">
        <v>0</v>
      </c>
      <c r="I27" s="32" t="n">
        <v>1</v>
      </c>
      <c r="J27" s="32" t="n">
        <v>2</v>
      </c>
      <c r="K27" s="33">
        <f>IF(RMODE="تقريب لأعلى",ROUNDUP(P27,0),ROUND(P27,0))</f>
        <v/>
      </c>
      <c r="L27" s="34" t="n"/>
      <c r="M27" s="35">
        <f>L27-K27</f>
        <v/>
      </c>
      <c r="N27" s="36">
        <f>IF(K27=0,"",L27/K27)</f>
        <v/>
      </c>
      <c r="O27" s="37">
        <f>IF(K27=0,"لا ينطبق",IF(L27&gt;=K27,"مكتمل",IF(L27=0,"لا يوجد","عجز")))</f>
        <v/>
      </c>
      <c r="P27" s="38">
        <f>IF(CAP&lt;=$D$4,D27*CAP/$D$4,IF(CAP&gt;=$J$4,J27*CAP/$J$4,INDEX($D27:$J27,$D$3)+$E$3*(INDEX($D27:$J27,$D$3+1)-INDEX($D27:$J27,$D$3))))</f>
        <v/>
      </c>
      <c r="Q27" s="39" t="inlineStr"/>
    </row>
    <row r="28">
      <c r="A28" s="30" t="n">
        <v>24</v>
      </c>
      <c r="B28" s="31" t="inlineStr">
        <is>
          <t>أخصائي غير طبيب</t>
        </is>
      </c>
      <c r="C28" s="5" t="inlineStr">
        <is>
          <t>أخصائي معالجة سمع (سمعيات)</t>
        </is>
      </c>
      <c r="D28" s="32" t="n">
        <v>0</v>
      </c>
      <c r="E28" s="32" t="n">
        <v>0</v>
      </c>
      <c r="F28" s="32" t="n">
        <v>0</v>
      </c>
      <c r="G28" s="32" t="n">
        <v>0</v>
      </c>
      <c r="H28" s="32" t="n">
        <v>2</v>
      </c>
      <c r="I28" s="32" t="n">
        <v>3</v>
      </c>
      <c r="J28" s="32" t="n">
        <v>4</v>
      </c>
      <c r="K28" s="33">
        <f>IF(RMODE="تقريب لأعلى",ROUNDUP(P28,0),ROUND(P28,0))</f>
        <v/>
      </c>
      <c r="L28" s="34" t="n"/>
      <c r="M28" s="35">
        <f>L28-K28</f>
        <v/>
      </c>
      <c r="N28" s="36">
        <f>IF(K28=0,"",L28/K28)</f>
        <v/>
      </c>
      <c r="O28" s="37">
        <f>IF(K28=0,"لا ينطبق",IF(L28&gt;=K28,"مكتمل",IF(L28=0,"لا يوجد","عجز")))</f>
        <v/>
      </c>
      <c r="P28" s="38">
        <f>IF(CAP&lt;=$D$4,D28*CAP/$D$4,IF(CAP&gt;=$J$4,J28*CAP/$J$4,INDEX($D28:$J28,$D$3)+$E$3*(INDEX($D28:$J28,$D$3+1)-INDEX($D28:$J28,$D$3))))</f>
        <v/>
      </c>
      <c r="Q28" s="39" t="inlineStr"/>
    </row>
    <row r="29">
      <c r="A29" s="30" t="n">
        <v>25</v>
      </c>
      <c r="B29" s="31" t="inlineStr">
        <is>
          <t>أخصائي غير طبيب</t>
        </is>
      </c>
      <c r="C29" s="5" t="inlineStr">
        <is>
          <t>أخصائي علم الوراثة والجزيئات الحيوية (غير طبيب)</t>
        </is>
      </c>
      <c r="D29" s="32" t="n">
        <v>0</v>
      </c>
      <c r="E29" s="32" t="n">
        <v>0</v>
      </c>
      <c r="F29" s="32" t="n">
        <v>0</v>
      </c>
      <c r="G29" s="32" t="n">
        <v>0</v>
      </c>
      <c r="H29" s="32" t="n">
        <v>1</v>
      </c>
      <c r="I29" s="32" t="n">
        <v>1</v>
      </c>
      <c r="J29" s="32" t="n">
        <v>2</v>
      </c>
      <c r="K29" s="33">
        <f>IF(RMODE="تقريب لأعلى",ROUNDUP(P29,0),ROUND(P29,0))</f>
        <v/>
      </c>
      <c r="L29" s="34" t="n"/>
      <c r="M29" s="35">
        <f>L29-K29</f>
        <v/>
      </c>
      <c r="N29" s="36">
        <f>IF(K29=0,"",L29/K29)</f>
        <v/>
      </c>
      <c r="O29" s="37">
        <f>IF(K29=0,"لا ينطبق",IF(L29&gt;=K29,"مكتمل",IF(L29=0,"لا يوجد","عجز")))</f>
        <v/>
      </c>
      <c r="P29" s="38">
        <f>IF(CAP&lt;=$D$4,D29*CAP/$D$4,IF(CAP&gt;=$J$4,J29*CAP/$J$4,INDEX($D29:$J29,$D$3)+$E$3*(INDEX($D29:$J29,$D$3+1)-INDEX($D29:$J29,$D$3))))</f>
        <v/>
      </c>
      <c r="Q29" s="39" t="inlineStr"/>
    </row>
    <row r="30">
      <c r="A30" s="30" t="n">
        <v>26</v>
      </c>
      <c r="B30" s="31" t="inlineStr">
        <is>
          <t>أخصائي غير طبيب</t>
        </is>
      </c>
      <c r="C30" s="5" t="inlineStr">
        <is>
          <t>فسيولوجيا عصبي (أخصائي غير طبيب)</t>
        </is>
      </c>
      <c r="D30" s="32" t="n">
        <v>0</v>
      </c>
      <c r="E30" s="32" t="n">
        <v>0</v>
      </c>
      <c r="F30" s="32" t="n">
        <v>0</v>
      </c>
      <c r="G30" s="32" t="n">
        <v>2</v>
      </c>
      <c r="H30" s="32" t="n">
        <v>2</v>
      </c>
      <c r="I30" s="32" t="n">
        <v>3</v>
      </c>
      <c r="J30" s="32" t="n">
        <v>3</v>
      </c>
      <c r="K30" s="33">
        <f>IF(RMODE="تقريب لأعلى",ROUNDUP(P30,0),ROUND(P30,0))</f>
        <v/>
      </c>
      <c r="L30" s="34" t="n"/>
      <c r="M30" s="35">
        <f>L30-K30</f>
        <v/>
      </c>
      <c r="N30" s="36">
        <f>IF(K30=0,"",L30/K30)</f>
        <v/>
      </c>
      <c r="O30" s="37">
        <f>IF(K30=0,"لا ينطبق",IF(L30&gt;=K30,"مكتمل",IF(L30=0,"لا يوجد","عجز")))</f>
        <v/>
      </c>
      <c r="P30" s="38">
        <f>IF(CAP&lt;=$D$4,D30*CAP/$D$4,IF(CAP&gt;=$J$4,J30*CAP/$J$4,INDEX($D30:$J30,$D$3)+$E$3*(INDEX($D30:$J30,$D$3+1)-INDEX($D30:$J30,$D$3))))</f>
        <v/>
      </c>
      <c r="Q30" s="39" t="inlineStr"/>
    </row>
    <row r="31">
      <c r="A31" s="30" t="n">
        <v>27</v>
      </c>
      <c r="B31" s="31" t="inlineStr">
        <is>
          <t>تمريض</t>
        </is>
      </c>
      <c r="C31" s="5" t="inlineStr">
        <is>
          <t>أخصائي تمريض 60%</t>
        </is>
      </c>
      <c r="D31" s="32" t="n">
        <v>86</v>
      </c>
      <c r="E31" s="32" t="n">
        <v>174</v>
      </c>
      <c r="F31" s="32" t="n">
        <v>270</v>
      </c>
      <c r="G31" s="32" t="n">
        <v>372</v>
      </c>
      <c r="H31" s="32" t="n">
        <v>572</v>
      </c>
      <c r="I31" s="32" t="n">
        <v>786</v>
      </c>
      <c r="J31" s="32" t="n">
        <v>1000</v>
      </c>
      <c r="K31" s="33">
        <f>IF(RMODE="تقريب لأعلى",ROUNDUP(P31,0),ROUND(P31,0))</f>
        <v/>
      </c>
      <c r="L31" s="34" t="n"/>
      <c r="M31" s="35">
        <f>L31-K31</f>
        <v/>
      </c>
      <c r="N31" s="36">
        <f>IF(K31=0,"",L31/K31)</f>
        <v/>
      </c>
      <c r="O31" s="37">
        <f>IF(K31=0,"لا ينطبق",IF(L31&gt;=K31,"مكتمل",IF(L31=0,"لا يوجد","عجز")))</f>
        <v/>
      </c>
      <c r="P31" s="38">
        <f>IF(CAP&lt;=$D$4,D31*CAP/$D$4,IF(CAP&gt;=$J$4,J31*CAP/$J$4,INDEX($D31:$J31,$D$3)+$E$3*(INDEX($D31:$J31,$D$3+1)-INDEX($D31:$J31,$D$3))))</f>
        <v/>
      </c>
      <c r="Q31" s="39" t="inlineStr">
        <is>
          <t>إيضاح 30: عند أقل من 300 سرير تضاف نسبة 0.5% لمسمى أخصائي تمريض</t>
        </is>
      </c>
    </row>
    <row r="32">
      <c r="A32" s="30" t="n">
        <v>28</v>
      </c>
      <c r="B32" s="31" t="inlineStr">
        <is>
          <t>تمريض</t>
        </is>
      </c>
      <c r="C32" s="5" t="inlineStr">
        <is>
          <t>أخصائي أول تمريض 10%</t>
        </is>
      </c>
      <c r="D32" s="32" t="n">
        <v>14</v>
      </c>
      <c r="E32" s="32" t="n">
        <v>29</v>
      </c>
      <c r="F32" s="32" t="n">
        <v>45</v>
      </c>
      <c r="G32" s="32" t="n">
        <v>62</v>
      </c>
      <c r="H32" s="32" t="n">
        <v>96</v>
      </c>
      <c r="I32" s="32" t="n">
        <v>132</v>
      </c>
      <c r="J32" s="32" t="n">
        <v>168</v>
      </c>
      <c r="K32" s="33">
        <f>IF(RMODE="تقريب لأعلى",ROUNDUP(P32,0),ROUND(P32,0))</f>
        <v/>
      </c>
      <c r="L32" s="34" t="n"/>
      <c r="M32" s="35">
        <f>L32-K32</f>
        <v/>
      </c>
      <c r="N32" s="36">
        <f>IF(K32=0,"",L32/K32)</f>
        <v/>
      </c>
      <c r="O32" s="37">
        <f>IF(K32=0,"لا ينطبق",IF(L32&gt;=K32,"مكتمل",IF(L32=0,"لا يوجد","عجز")))</f>
        <v/>
      </c>
      <c r="P32" s="38">
        <f>IF(CAP&lt;=$D$4,D32*CAP/$D$4,IF(CAP&gt;=$J$4,J32*CAP/$J$4,INDEX($D32:$J32,$D$3)+$E$3*(INDEX($D32:$J32,$D$3+1)-INDEX($D32:$J32,$D$3))))</f>
        <v/>
      </c>
      <c r="Q32" s="39" t="inlineStr"/>
    </row>
    <row r="33">
      <c r="A33" s="30" t="n">
        <v>29</v>
      </c>
      <c r="B33" s="31" t="inlineStr">
        <is>
          <t>تمريض</t>
        </is>
      </c>
      <c r="C33" s="5" t="inlineStr">
        <is>
          <t>استشاري تمريض 0.5%</t>
        </is>
      </c>
      <c r="D33" s="32" t="n">
        <v>0</v>
      </c>
      <c r="E33" s="32" t="n">
        <v>0</v>
      </c>
      <c r="F33" s="32" t="n">
        <v>0</v>
      </c>
      <c r="G33" s="32" t="n">
        <v>0</v>
      </c>
      <c r="H33" s="32" t="n">
        <v>4</v>
      </c>
      <c r="I33" s="32" t="n">
        <v>6</v>
      </c>
      <c r="J33" s="32" t="n">
        <v>8</v>
      </c>
      <c r="K33" s="33">
        <f>IF(RMODE="تقريب لأعلى",ROUNDUP(P33,0),ROUND(P33,0))</f>
        <v/>
      </c>
      <c r="L33" s="34" t="n"/>
      <c r="M33" s="35">
        <f>L33-K33</f>
        <v/>
      </c>
      <c r="N33" s="36">
        <f>IF(K33=0,"",L33/K33)</f>
        <v/>
      </c>
      <c r="O33" s="37">
        <f>IF(K33=0,"لا ينطبق",IF(L33&gt;=K33,"مكتمل",IF(L33=0,"لا يوجد","عجز")))</f>
        <v/>
      </c>
      <c r="P33" s="38">
        <f>IF(CAP&lt;=$D$4,D33*CAP/$D$4,IF(CAP&gt;=$J$4,J33*CAP/$J$4,INDEX($D33:$J33,$D$3)+$E$3*(INDEX($D33:$J33,$D$3+1)-INDEX($D33:$J33,$D$3))))</f>
        <v/>
      </c>
      <c r="Q33" s="39" t="inlineStr">
        <is>
          <t>إيضاح 30: تبدأ من 300 سرير وما فوق</t>
        </is>
      </c>
    </row>
    <row r="34">
      <c r="A34" s="30" t="n">
        <v>30</v>
      </c>
      <c r="B34" s="31" t="inlineStr">
        <is>
          <t>قبالة</t>
        </is>
      </c>
      <c r="C34" s="5" t="inlineStr">
        <is>
          <t>أخصائي قبالة 60%</t>
        </is>
      </c>
      <c r="D34" s="32" t="n">
        <v>7</v>
      </c>
      <c r="E34" s="32" t="n">
        <v>15</v>
      </c>
      <c r="F34" s="32" t="n">
        <v>23</v>
      </c>
      <c r="G34" s="32" t="n">
        <v>30</v>
      </c>
      <c r="H34" s="32" t="n">
        <v>45</v>
      </c>
      <c r="I34" s="32" t="n">
        <v>59</v>
      </c>
      <c r="J34" s="32" t="n">
        <v>74</v>
      </c>
      <c r="K34" s="33">
        <f>IF(RMODE="تقريب لأعلى",ROUNDUP(P34,0),ROUND(P34,0))</f>
        <v/>
      </c>
      <c r="L34" s="34" t="n"/>
      <c r="M34" s="35">
        <f>L34-K34</f>
        <v/>
      </c>
      <c r="N34" s="36">
        <f>IF(K34=0,"",L34/K34)</f>
        <v/>
      </c>
      <c r="O34" s="37">
        <f>IF(K34=0,"لا ينطبق",IF(L34&gt;=K34,"مكتمل",IF(L34=0,"لا يوجد","عجز")))</f>
        <v/>
      </c>
      <c r="P34" s="38">
        <f>IF(CAP&lt;=$D$4,D34*CAP/$D$4,IF(CAP&gt;=$J$4,J34*CAP/$J$4,INDEX($D34:$J34,$D$3)+$E$3*(INDEX($D34:$J34,$D$3+1)-INDEX($D34:$J34,$D$3))))</f>
        <v/>
      </c>
      <c r="Q34" s="39" t="inlineStr">
        <is>
          <t>إيضاح 10: معيار القابلات خاص بالمستشفيات التي تقدم خدمات النساء والولادة</t>
        </is>
      </c>
    </row>
    <row r="35">
      <c r="A35" s="30" t="n">
        <v>31</v>
      </c>
      <c r="B35" s="31" t="inlineStr">
        <is>
          <t>قبالة</t>
        </is>
      </c>
      <c r="C35" s="5" t="inlineStr">
        <is>
          <t>أخصائي أول قبالة 10%</t>
        </is>
      </c>
      <c r="D35" s="32" t="n">
        <v>2</v>
      </c>
      <c r="E35" s="32" t="n">
        <v>3</v>
      </c>
      <c r="F35" s="32" t="n">
        <v>4</v>
      </c>
      <c r="G35" s="32" t="n">
        <v>5</v>
      </c>
      <c r="H35" s="32" t="n">
        <v>8</v>
      </c>
      <c r="I35" s="32" t="n">
        <v>10</v>
      </c>
      <c r="J35" s="32" t="n">
        <v>13</v>
      </c>
      <c r="K35" s="33">
        <f>IF(RMODE="تقريب لأعلى",ROUNDUP(P35,0),ROUND(P35,0))</f>
        <v/>
      </c>
      <c r="L35" s="34" t="n"/>
      <c r="M35" s="35">
        <f>L35-K35</f>
        <v/>
      </c>
      <c r="N35" s="36">
        <f>IF(K35=0,"",L35/K35)</f>
        <v/>
      </c>
      <c r="O35" s="37">
        <f>IF(K35=0,"لا ينطبق",IF(L35&gt;=K35,"مكتمل",IF(L35=0,"لا يوجد","عجز")))</f>
        <v/>
      </c>
      <c r="P35" s="38">
        <f>IF(CAP&lt;=$D$4,D35*CAP/$D$4,IF(CAP&gt;=$J$4,J35*CAP/$J$4,INDEX($D35:$J35,$D$3)+$E$3*(INDEX($D35:$J35,$D$3+1)-INDEX($D35:$J35,$D$3))))</f>
        <v/>
      </c>
      <c r="Q35" s="39" t="inlineStr">
        <is>
          <t>إيضاح 10</t>
        </is>
      </c>
    </row>
    <row r="36">
      <c r="A36" s="30" t="n">
        <v>32</v>
      </c>
      <c r="B36" s="31" t="inlineStr">
        <is>
          <t>قبالة</t>
        </is>
      </c>
      <c r="C36" s="5" t="inlineStr">
        <is>
          <t>استشاري قبالة 1%</t>
        </is>
      </c>
      <c r="D36" s="32" t="n">
        <v>0</v>
      </c>
      <c r="E36" s="32" t="n">
        <v>0</v>
      </c>
      <c r="F36" s="32" t="n">
        <v>0</v>
      </c>
      <c r="G36" s="32" t="n">
        <v>0</v>
      </c>
      <c r="H36" s="32" t="n">
        <v>1</v>
      </c>
      <c r="I36" s="32" t="n">
        <v>1</v>
      </c>
      <c r="J36" s="32" t="n">
        <v>1</v>
      </c>
      <c r="K36" s="33">
        <f>IF(RMODE="تقريب لأعلى",ROUNDUP(P36,0),ROUND(P36,0))</f>
        <v/>
      </c>
      <c r="L36" s="34" t="n"/>
      <c r="M36" s="35">
        <f>L36-K36</f>
        <v/>
      </c>
      <c r="N36" s="36">
        <f>IF(K36=0,"",L36/K36)</f>
        <v/>
      </c>
      <c r="O36" s="37">
        <f>IF(K36=0,"لا ينطبق",IF(L36&gt;=K36,"مكتمل",IF(L36=0,"لا يوجد","عجز")))</f>
        <v/>
      </c>
      <c r="P36" s="38">
        <f>IF(CAP&lt;=$D$4,D36*CAP/$D$4,IF(CAP&gt;=$J$4,J36*CAP/$J$4,INDEX($D36:$J36,$D$3)+$E$3*(INDEX($D36:$J36,$D$3+1)-INDEX($D36:$J36,$D$3))))</f>
        <v/>
      </c>
      <c r="Q36" s="39" t="inlineStr">
        <is>
          <t>إيضاح 10</t>
        </is>
      </c>
    </row>
    <row r="37">
      <c r="A37" s="30" t="n">
        <v>33</v>
      </c>
      <c r="B37" s="31" t="inlineStr">
        <is>
          <t>أخصائي غير طبيب</t>
        </is>
      </c>
      <c r="C37" s="5" t="inlineStr">
        <is>
          <t>أخصائي صحة عامة (غير طبيب)</t>
        </is>
      </c>
      <c r="D37" s="32" t="n">
        <v>2</v>
      </c>
      <c r="E37" s="32" t="n">
        <v>2</v>
      </c>
      <c r="F37" s="32" t="n">
        <v>2</v>
      </c>
      <c r="G37" s="32" t="n">
        <v>2</v>
      </c>
      <c r="H37" s="32" t="n">
        <v>3</v>
      </c>
      <c r="I37" s="32" t="n">
        <v>3</v>
      </c>
      <c r="J37" s="32" t="n">
        <v>3</v>
      </c>
      <c r="K37" s="33">
        <f>IF(RMODE="تقريب لأعلى",ROUNDUP(P37,0),ROUND(P37,0))</f>
        <v/>
      </c>
      <c r="L37" s="34" t="n"/>
      <c r="M37" s="35">
        <f>L37-K37</f>
        <v/>
      </c>
      <c r="N37" s="36">
        <f>IF(K37=0,"",L37/K37)</f>
        <v/>
      </c>
      <c r="O37" s="37">
        <f>IF(K37=0,"لا ينطبق",IF(L37&gt;=K37,"مكتمل",IF(L37=0,"لا يوجد","عجز")))</f>
        <v/>
      </c>
      <c r="P37" s="38">
        <f>IF(CAP&lt;=$D$4,D37*CAP/$D$4,IF(CAP&gt;=$J$4,J37*CAP/$J$4,INDEX($D37:$J37,$D$3)+$E$3*(INDEX($D37:$J37,$D$3+1)-INDEX($D37:$J37,$D$3))))</f>
        <v/>
      </c>
      <c r="Q37" s="39" t="inlineStr"/>
    </row>
    <row r="38">
      <c r="A38" s="30" t="n">
        <v>34</v>
      </c>
      <c r="B38" s="31" t="inlineStr">
        <is>
          <t>أخصائي غير طبيب</t>
        </is>
      </c>
      <c r="C38" s="5" t="inlineStr">
        <is>
          <t>أخصائي مكافحة عدوى (غير طبيب)</t>
        </is>
      </c>
      <c r="D38" s="32" t="n">
        <v>3</v>
      </c>
      <c r="E38" s="32" t="n">
        <v>3</v>
      </c>
      <c r="F38" s="32" t="n">
        <v>3</v>
      </c>
      <c r="G38" s="32" t="n">
        <v>4</v>
      </c>
      <c r="H38" s="32" t="n">
        <v>5</v>
      </c>
      <c r="I38" s="32" t="n">
        <v>7</v>
      </c>
      <c r="J38" s="32" t="n">
        <v>9</v>
      </c>
      <c r="K38" s="33">
        <f>IF(RMODE="تقريب لأعلى",ROUNDUP(P38,0),ROUND(P38,0))</f>
        <v/>
      </c>
      <c r="L38" s="34" t="n"/>
      <c r="M38" s="35">
        <f>L38-K38</f>
        <v/>
      </c>
      <c r="N38" s="36">
        <f>IF(K38=0,"",L38/K38)</f>
        <v/>
      </c>
      <c r="O38" s="37">
        <f>IF(K38=0,"لا ينطبق",IF(L38&gt;=K38,"مكتمل",IF(L38=0,"لا يوجد","عجز")))</f>
        <v/>
      </c>
      <c r="P38" s="38">
        <f>IF(CAP&lt;=$D$4,D38*CAP/$D$4,IF(CAP&gt;=$J$4,J38*CAP/$J$4,INDEX($D38:$J38,$D$3)+$E$3*(INDEX($D38:$J38,$D$3+1)-INDEX($D38:$J38,$D$3))))</f>
        <v/>
      </c>
      <c r="Q38" s="39" t="inlineStr">
        <is>
          <t>إيضاح 7</t>
        </is>
      </c>
    </row>
    <row r="39">
      <c r="A39" s="30" t="n">
        <v>35</v>
      </c>
      <c r="B39" s="31" t="inlineStr">
        <is>
          <t>أخصائي غير طبيب</t>
        </is>
      </c>
      <c r="C39" s="5" t="inlineStr">
        <is>
          <t>أخصائي وبائيات (غير طبيب)</t>
        </is>
      </c>
      <c r="D39" s="32" t="n">
        <v>0</v>
      </c>
      <c r="E39" s="32" t="n">
        <v>1</v>
      </c>
      <c r="F39" s="32" t="n">
        <v>1</v>
      </c>
      <c r="G39" s="32" t="n">
        <v>2</v>
      </c>
      <c r="H39" s="32" t="n">
        <v>2</v>
      </c>
      <c r="I39" s="32" t="n">
        <v>3</v>
      </c>
      <c r="J39" s="32" t="n">
        <v>3</v>
      </c>
      <c r="K39" s="33">
        <f>IF(RMODE="تقريب لأعلى",ROUNDUP(P39,0),ROUND(P39,0))</f>
        <v/>
      </c>
      <c r="L39" s="34" t="n"/>
      <c r="M39" s="35">
        <f>L39-K39</f>
        <v/>
      </c>
      <c r="N39" s="36">
        <f>IF(K39=0,"",L39/K39)</f>
        <v/>
      </c>
      <c r="O39" s="37">
        <f>IF(K39=0,"لا ينطبق",IF(L39&gt;=K39,"مكتمل",IF(L39=0,"لا يوجد","عجز")))</f>
        <v/>
      </c>
      <c r="P39" s="38">
        <f>IF(CAP&lt;=$D$4,D39*CAP/$D$4,IF(CAP&gt;=$J$4,J39*CAP/$J$4,INDEX($D39:$J39,$D$3)+$E$3*(INDEX($D39:$J39,$D$3+1)-INDEX($D39:$J39,$D$3))))</f>
        <v/>
      </c>
      <c r="Q39" s="39" t="inlineStr"/>
    </row>
    <row r="40">
      <c r="A40" s="30" t="n">
        <v>36</v>
      </c>
      <c r="B40" s="31" t="inlineStr">
        <is>
          <t>أخصائي غير طبيب</t>
        </is>
      </c>
      <c r="C40" s="5" t="inlineStr">
        <is>
          <t>أخصائي صحة مهنية (غير طبيب)</t>
        </is>
      </c>
      <c r="D40" s="32" t="n">
        <v>1</v>
      </c>
      <c r="E40" s="32" t="n">
        <v>1</v>
      </c>
      <c r="F40" s="32" t="n">
        <v>2</v>
      </c>
      <c r="G40" s="32" t="n">
        <v>2</v>
      </c>
      <c r="H40" s="32" t="n">
        <v>2</v>
      </c>
      <c r="I40" s="32" t="n">
        <v>3</v>
      </c>
      <c r="J40" s="32" t="n">
        <v>3</v>
      </c>
      <c r="K40" s="33">
        <f>IF(RMODE="تقريب لأعلى",ROUNDUP(P40,0),ROUND(P40,0))</f>
        <v/>
      </c>
      <c r="L40" s="34" t="n"/>
      <c r="M40" s="35">
        <f>L40-K40</f>
        <v/>
      </c>
      <c r="N40" s="36">
        <f>IF(K40=0,"",L40/K40)</f>
        <v/>
      </c>
      <c r="O40" s="37">
        <f>IF(K40=0,"لا ينطبق",IF(L40&gt;=K40,"مكتمل",IF(L40=0,"لا يوجد","عجز")))</f>
        <v/>
      </c>
      <c r="P40" s="38">
        <f>IF(CAP&lt;=$D$4,D40*CAP/$D$4,IF(CAP&gt;=$J$4,J40*CAP/$J$4,INDEX($D40:$J40,$D$3)+$E$3*(INDEX($D40:$J40,$D$3+1)-INDEX($D40:$J40,$D$3))))</f>
        <v/>
      </c>
      <c r="Q40" s="39" t="inlineStr"/>
    </row>
    <row r="41">
      <c r="A41" s="30" t="n">
        <v>37</v>
      </c>
      <c r="B41" s="31" t="inlineStr">
        <is>
          <t>أخصائي غير طبيب</t>
        </is>
      </c>
      <c r="C41" s="5" t="inlineStr">
        <is>
          <t>أخصائي صحة بيئة (غير طبيب)</t>
        </is>
      </c>
      <c r="D41" s="32" t="n">
        <v>1</v>
      </c>
      <c r="E41" s="32" t="n">
        <v>1</v>
      </c>
      <c r="F41" s="32" t="n">
        <v>1</v>
      </c>
      <c r="G41" s="32" t="n">
        <v>1</v>
      </c>
      <c r="H41" s="32" t="n">
        <v>1</v>
      </c>
      <c r="I41" s="32" t="n">
        <v>1</v>
      </c>
      <c r="J41" s="32" t="n">
        <v>1</v>
      </c>
      <c r="K41" s="33">
        <f>IF(RMODE="تقريب لأعلى",ROUNDUP(P41,0),ROUND(P41,0))</f>
        <v/>
      </c>
      <c r="L41" s="34" t="n"/>
      <c r="M41" s="35">
        <f>L41-K41</f>
        <v/>
      </c>
      <c r="N41" s="36">
        <f>IF(K41=0,"",L41/K41)</f>
        <v/>
      </c>
      <c r="O41" s="37">
        <f>IF(K41=0,"لا ينطبق",IF(L41&gt;=K41,"مكتمل",IF(L41=0,"لا يوجد","عجز")))</f>
        <v/>
      </c>
      <c r="P41" s="38">
        <f>IF(CAP&lt;=$D$4,D41*CAP/$D$4,IF(CAP&gt;=$J$4,J41*CAP/$J$4,INDEX($D41:$J41,$D$3)+$E$3*(INDEX($D41:$J41,$D$3+1)-INDEX($D41:$J41,$D$3))))</f>
        <v/>
      </c>
      <c r="Q41" s="39" t="inlineStr"/>
    </row>
    <row r="42">
      <c r="A42" s="30" t="n">
        <v>38</v>
      </c>
      <c r="B42" s="31" t="inlineStr">
        <is>
          <t>أخصائي غير طبيب</t>
        </is>
      </c>
      <c r="C42" s="5" t="inlineStr">
        <is>
          <t>أخصائي تخدير (غير طبيب)</t>
        </is>
      </c>
      <c r="D42" s="32" t="n">
        <v>5</v>
      </c>
      <c r="E42" s="32" t="n">
        <v>10</v>
      </c>
      <c r="F42" s="32" t="n">
        <v>15</v>
      </c>
      <c r="G42" s="32" t="n">
        <v>20</v>
      </c>
      <c r="H42" s="32" t="n">
        <v>30</v>
      </c>
      <c r="I42" s="32" t="n">
        <v>40</v>
      </c>
      <c r="J42" s="32" t="n">
        <v>50</v>
      </c>
      <c r="K42" s="33">
        <f>IF(RMODE="تقريب لأعلى",ROUNDUP(P42,0),ROUND(P42,0))</f>
        <v/>
      </c>
      <c r="L42" s="34" t="n"/>
      <c r="M42" s="35">
        <f>L42-K42</f>
        <v/>
      </c>
      <c r="N42" s="36">
        <f>IF(K42=0,"",L42/K42)</f>
        <v/>
      </c>
      <c r="O42" s="37">
        <f>IF(K42=0,"لا ينطبق",IF(L42&gt;=K42,"مكتمل",IF(L42=0,"لا يوجد","عجز")))</f>
        <v/>
      </c>
      <c r="P42" s="38">
        <f>IF(CAP&lt;=$D$4,D42*CAP/$D$4,IF(CAP&gt;=$J$4,J42*CAP/$J$4,INDEX($D42:$J42,$D$3)+$E$3*(INDEX($D42:$J42,$D$3+1)-INDEX($D42:$J42,$D$3))))</f>
        <v/>
      </c>
      <c r="Q42" s="39" t="inlineStr"/>
    </row>
    <row r="43">
      <c r="A43" s="30" t="n">
        <v>39</v>
      </c>
      <c r="B43" s="31" t="inlineStr">
        <is>
          <t>أخصائي غير طبيب</t>
        </is>
      </c>
      <c r="C43" s="5" t="inlineStr">
        <is>
          <t>استشاري علاج تنفسي</t>
        </is>
      </c>
      <c r="D43" s="32" t="n">
        <v>0</v>
      </c>
      <c r="E43" s="32" t="n">
        <v>1</v>
      </c>
      <c r="F43" s="32" t="n">
        <v>2</v>
      </c>
      <c r="G43" s="32" t="n">
        <v>2</v>
      </c>
      <c r="H43" s="32" t="n">
        <v>2</v>
      </c>
      <c r="I43" s="32" t="n">
        <v>3</v>
      </c>
      <c r="J43" s="32" t="n">
        <v>5</v>
      </c>
      <c r="K43" s="33">
        <f>IF(RMODE="تقريب لأعلى",ROUNDUP(P43,0),ROUND(P43,0))</f>
        <v/>
      </c>
      <c r="L43" s="34" t="n"/>
      <c r="M43" s="35">
        <f>L43-K43</f>
        <v/>
      </c>
      <c r="N43" s="36">
        <f>IF(K43=0,"",L43/K43)</f>
        <v/>
      </c>
      <c r="O43" s="37">
        <f>IF(K43=0,"لا ينطبق",IF(L43&gt;=K43,"مكتمل",IF(L43=0,"لا يوجد","عجز")))</f>
        <v/>
      </c>
      <c r="P43" s="38">
        <f>IF(CAP&lt;=$D$4,D43*CAP/$D$4,IF(CAP&gt;=$J$4,J43*CAP/$J$4,INDEX($D43:$J43,$D$3)+$E$3*(INDEX($D43:$J43,$D$3+1)-INDEX($D43:$J43,$D$3))))</f>
        <v/>
      </c>
      <c r="Q43" s="39" t="inlineStr">
        <is>
          <t>إيضاحات 22-25: التوزيع 20% فني، 20% أخصائي أول، 55% أخصائي، 5% استشاري</t>
        </is>
      </c>
    </row>
    <row r="44">
      <c r="A44" s="30" t="n">
        <v>40</v>
      </c>
      <c r="B44" s="31" t="inlineStr">
        <is>
          <t>أخصائي غير طبيب</t>
        </is>
      </c>
      <c r="C44" s="5" t="inlineStr">
        <is>
          <t>أخصائي أول علاج تنفسي</t>
        </is>
      </c>
      <c r="D44" s="32" t="n">
        <v>2</v>
      </c>
      <c r="E44" s="32" t="n">
        <v>4</v>
      </c>
      <c r="F44" s="32" t="n">
        <v>6</v>
      </c>
      <c r="G44" s="32" t="n">
        <v>8</v>
      </c>
      <c r="H44" s="32" t="n">
        <v>8</v>
      </c>
      <c r="I44" s="32" t="n">
        <v>10</v>
      </c>
      <c r="J44" s="32" t="n">
        <v>14</v>
      </c>
      <c r="K44" s="33">
        <f>IF(RMODE="تقريب لأعلى",ROUNDUP(P44,0),ROUND(P44,0))</f>
        <v/>
      </c>
      <c r="L44" s="34" t="n"/>
      <c r="M44" s="35">
        <f>L44-K44</f>
        <v/>
      </c>
      <c r="N44" s="36">
        <f>IF(K44=0,"",L44/K44)</f>
        <v/>
      </c>
      <c r="O44" s="37">
        <f>IF(K44=0,"لا ينطبق",IF(L44&gt;=K44,"مكتمل",IF(L44=0,"لا يوجد","عجز")))</f>
        <v/>
      </c>
      <c r="P44" s="38">
        <f>IF(CAP&lt;=$D$4,D44*CAP/$D$4,IF(CAP&gt;=$J$4,J44*CAP/$J$4,INDEX($D44:$J44,$D$3)+$E$3*(INDEX($D44:$J44,$D$3+1)-INDEX($D44:$J44,$D$3))))</f>
        <v/>
      </c>
      <c r="Q44" s="39" t="inlineStr">
        <is>
          <t>إيضاحات 22-25</t>
        </is>
      </c>
    </row>
    <row r="45">
      <c r="A45" s="30" t="n">
        <v>41</v>
      </c>
      <c r="B45" s="31" t="inlineStr">
        <is>
          <t>أخصائي غير طبيب</t>
        </is>
      </c>
      <c r="C45" s="5" t="inlineStr">
        <is>
          <t>أخصائي علاج تنفسي</t>
        </is>
      </c>
      <c r="D45" s="32" t="n">
        <v>4</v>
      </c>
      <c r="E45" s="32" t="n">
        <v>9</v>
      </c>
      <c r="F45" s="32" t="n">
        <v>12</v>
      </c>
      <c r="G45" s="32" t="n">
        <v>16</v>
      </c>
      <c r="H45" s="32" t="n">
        <v>25</v>
      </c>
      <c r="I45" s="32" t="n">
        <v>30</v>
      </c>
      <c r="J45" s="32" t="n">
        <v>50</v>
      </c>
      <c r="K45" s="33">
        <f>IF(RMODE="تقريب لأعلى",ROUNDUP(P45,0),ROUND(P45,0))</f>
        <v/>
      </c>
      <c r="L45" s="34" t="n"/>
      <c r="M45" s="35">
        <f>L45-K45</f>
        <v/>
      </c>
      <c r="N45" s="36">
        <f>IF(K45=0,"",L45/K45)</f>
        <v/>
      </c>
      <c r="O45" s="37">
        <f>IF(K45=0,"لا ينطبق",IF(L45&gt;=K45,"مكتمل",IF(L45=0,"لا يوجد","عجز")))</f>
        <v/>
      </c>
      <c r="P45" s="38">
        <f>IF(CAP&lt;=$D$4,D45*CAP/$D$4,IF(CAP&gt;=$J$4,J45*CAP/$J$4,INDEX($D45:$J45,$D$3)+$E$3*(INDEX($D45:$J45,$D$3+1)-INDEX($D45:$J45,$D$3))))</f>
        <v/>
      </c>
      <c r="Q45" s="39" t="inlineStr">
        <is>
          <t>إيضاح 25: المتوسط 1 أخصائي لكل 5 أسرة</t>
        </is>
      </c>
    </row>
    <row r="46">
      <c r="A46" s="30" t="n">
        <v>42</v>
      </c>
      <c r="B46" s="31" t="inlineStr">
        <is>
          <t>أخصائي غير طبيب</t>
        </is>
      </c>
      <c r="C46" s="5" t="inlineStr">
        <is>
          <t>أخصائي بصريات</t>
        </is>
      </c>
      <c r="D46" s="32" t="n">
        <v>2</v>
      </c>
      <c r="E46" s="32" t="n">
        <v>3</v>
      </c>
      <c r="F46" s="32" t="n">
        <v>4</v>
      </c>
      <c r="G46" s="32" t="n">
        <v>5</v>
      </c>
      <c r="H46" s="32" t="n">
        <v>6</v>
      </c>
      <c r="I46" s="32" t="n">
        <v>6</v>
      </c>
      <c r="J46" s="32" t="n">
        <v>8</v>
      </c>
      <c r="K46" s="33">
        <f>IF(RMODE="تقريب لأعلى",ROUNDUP(P46,0),ROUND(P46,0))</f>
        <v/>
      </c>
      <c r="L46" s="34" t="n"/>
      <c r="M46" s="35">
        <f>L46-K46</f>
        <v/>
      </c>
      <c r="N46" s="36">
        <f>IF(K46=0,"",L46/K46)</f>
        <v/>
      </c>
      <c r="O46" s="37">
        <f>IF(K46=0,"لا ينطبق",IF(L46&gt;=K46,"مكتمل",IF(L46=0,"لا يوجد","عجز")))</f>
        <v/>
      </c>
      <c r="P46" s="38">
        <f>IF(CAP&lt;=$D$4,D46*CAP/$D$4,IF(CAP&gt;=$J$4,J46*CAP/$J$4,INDEX($D46:$J46,$D$3)+$E$3*(INDEX($D46:$J46,$D$3+1)-INDEX($D46:$J46,$D$3))))</f>
        <v/>
      </c>
      <c r="Q46" s="39" t="inlineStr"/>
    </row>
    <row r="47">
      <c r="A47" s="30" t="n">
        <v>43</v>
      </c>
      <c r="B47" s="31" t="inlineStr">
        <is>
          <t>أخصائي غير طبيب</t>
        </is>
      </c>
      <c r="C47" s="5" t="inlineStr">
        <is>
          <t>أخصائي أول بصريات</t>
        </is>
      </c>
      <c r="D47" s="32" t="n">
        <v>0</v>
      </c>
      <c r="E47" s="32" t="n">
        <v>1</v>
      </c>
      <c r="F47" s="32" t="n">
        <v>1</v>
      </c>
      <c r="G47" s="32" t="n">
        <v>2</v>
      </c>
      <c r="H47" s="32" t="n">
        <v>3</v>
      </c>
      <c r="I47" s="32" t="n">
        <v>3</v>
      </c>
      <c r="J47" s="32" t="n">
        <v>4</v>
      </c>
      <c r="K47" s="33">
        <f>IF(RMODE="تقريب لأعلى",ROUNDUP(P47,0),ROUND(P47,0))</f>
        <v/>
      </c>
      <c r="L47" s="34" t="n"/>
      <c r="M47" s="35">
        <f>L47-K47</f>
        <v/>
      </c>
      <c r="N47" s="36">
        <f>IF(K47=0,"",L47/K47)</f>
        <v/>
      </c>
      <c r="O47" s="37">
        <f>IF(K47=0,"لا ينطبق",IF(L47&gt;=K47,"مكتمل",IF(L47=0,"لا يوجد","عجز")))</f>
        <v/>
      </c>
      <c r="P47" s="38">
        <f>IF(CAP&lt;=$D$4,D47*CAP/$D$4,IF(CAP&gt;=$J$4,J47*CAP/$J$4,INDEX($D47:$J47,$D$3)+$E$3*(INDEX($D47:$J47,$D$3+1)-INDEX($D47:$J47,$D$3))))</f>
        <v/>
      </c>
      <c r="Q47" s="39" t="inlineStr"/>
    </row>
    <row r="48">
      <c r="A48" s="30" t="n">
        <v>44</v>
      </c>
      <c r="B48" s="31" t="inlineStr">
        <is>
          <t>أخصائي غير طبيب</t>
        </is>
      </c>
      <c r="C48" s="5" t="inlineStr">
        <is>
          <t>استشاري بصريات</t>
        </is>
      </c>
      <c r="D48" s="32" t="n">
        <v>0</v>
      </c>
      <c r="E48" s="32" t="n">
        <v>0</v>
      </c>
      <c r="F48" s="32" t="n">
        <v>0</v>
      </c>
      <c r="G48" s="32" t="n">
        <v>1</v>
      </c>
      <c r="H48" s="32" t="n">
        <v>1</v>
      </c>
      <c r="I48" s="32" t="n">
        <v>2</v>
      </c>
      <c r="J48" s="32" t="n">
        <v>2</v>
      </c>
      <c r="K48" s="33">
        <f>IF(RMODE="تقريب لأعلى",ROUNDUP(P48,0),ROUND(P48,0))</f>
        <v/>
      </c>
      <c r="L48" s="34" t="n"/>
      <c r="M48" s="35">
        <f>L48-K48</f>
        <v/>
      </c>
      <c r="N48" s="36">
        <f>IF(K48=0,"",L48/K48)</f>
        <v/>
      </c>
      <c r="O48" s="37">
        <f>IF(K48=0,"لا ينطبق",IF(L48&gt;=K48,"مكتمل",IF(L48=0,"لا يوجد","عجز")))</f>
        <v/>
      </c>
      <c r="P48" s="38">
        <f>IF(CAP&lt;=$D$4,D48*CAP/$D$4,IF(CAP&gt;=$J$4,J48*CAP/$J$4,INDEX($D48:$J48,$D$3)+$E$3*(INDEX($D48:$J48,$D$3+1)-INDEX($D48:$J48,$D$3))))</f>
        <v/>
      </c>
      <c r="Q48" s="39" t="inlineStr"/>
    </row>
    <row r="49">
      <c r="A49" s="30" t="n">
        <v>45</v>
      </c>
      <c r="B49" s="31" t="inlineStr">
        <is>
          <t>أخصائي غير طبيب</t>
        </is>
      </c>
      <c r="C49" s="5" t="inlineStr">
        <is>
          <t>أخصائي (تقنية هندسة / مهندس) أجهزة طبية</t>
        </is>
      </c>
      <c r="D49" s="32" t="n">
        <v>1</v>
      </c>
      <c r="E49" s="32" t="n">
        <v>2</v>
      </c>
      <c r="F49" s="32" t="n">
        <v>4</v>
      </c>
      <c r="G49" s="32" t="n">
        <v>4</v>
      </c>
      <c r="H49" s="32" t="n">
        <v>5</v>
      </c>
      <c r="I49" s="32" t="n">
        <v>6</v>
      </c>
      <c r="J49" s="32" t="n">
        <v>6</v>
      </c>
      <c r="K49" s="33">
        <f>IF(RMODE="تقريب لأعلى",ROUNDUP(P49,0),ROUND(P49,0))</f>
        <v/>
      </c>
      <c r="L49" s="34" t="n"/>
      <c r="M49" s="35">
        <f>L49-K49</f>
        <v/>
      </c>
      <c r="N49" s="36">
        <f>IF(K49=0,"",L49/K49)</f>
        <v/>
      </c>
      <c r="O49" s="37">
        <f>IF(K49=0,"لا ينطبق",IF(L49&gt;=K49,"مكتمل",IF(L49=0,"لا يوجد","عجز")))</f>
        <v/>
      </c>
      <c r="P49" s="38">
        <f>IF(CAP&lt;=$D$4,D49*CAP/$D$4,IF(CAP&gt;=$J$4,J49*CAP/$J$4,INDEX($D49:$J49,$D$3)+$E$3*(INDEX($D49:$J49,$D$3+1)-INDEX($D49:$J49,$D$3))))</f>
        <v/>
      </c>
      <c r="Q49" s="39" t="inlineStr"/>
    </row>
    <row r="50">
      <c r="A50" s="30" t="n">
        <v>46</v>
      </c>
      <c r="B50" s="31" t="inlineStr">
        <is>
          <t>أخصائي غير طبيب</t>
        </is>
      </c>
      <c r="C50" s="5" t="inlineStr">
        <is>
          <t>أخصائي اجتماعي</t>
        </is>
      </c>
      <c r="D50" s="32" t="n">
        <v>2</v>
      </c>
      <c r="E50" s="32" t="n">
        <v>4</v>
      </c>
      <c r="F50" s="32" t="n">
        <v>6</v>
      </c>
      <c r="G50" s="32" t="n">
        <v>8</v>
      </c>
      <c r="H50" s="32" t="n">
        <v>10</v>
      </c>
      <c r="I50" s="32" t="n">
        <v>12</v>
      </c>
      <c r="J50" s="32" t="n">
        <v>15</v>
      </c>
      <c r="K50" s="33">
        <f>IF(RMODE="تقريب لأعلى",ROUNDUP(P50,0),ROUND(P50,0))</f>
        <v/>
      </c>
      <c r="L50" s="34" t="n"/>
      <c r="M50" s="35">
        <f>L50-K50</f>
        <v/>
      </c>
      <c r="N50" s="36">
        <f>IF(K50=0,"",L50/K50)</f>
        <v/>
      </c>
      <c r="O50" s="37">
        <f>IF(K50=0,"لا ينطبق",IF(L50&gt;=K50,"مكتمل",IF(L50=0,"لا يوجد","عجز")))</f>
        <v/>
      </c>
      <c r="P50" s="38">
        <f>IF(CAP&lt;=$D$4,D50*CAP/$D$4,IF(CAP&gt;=$J$4,J50*CAP/$J$4,INDEX($D50:$J50,$D$3)+$E$3*(INDEX($D50:$J50,$D$3+1)-INDEX($D50:$J50,$D$3))))</f>
        <v/>
      </c>
      <c r="Q50" s="39" t="inlineStr"/>
    </row>
    <row r="51">
      <c r="A51" s="30" t="n">
        <v>47</v>
      </c>
      <c r="B51" s="31" t="inlineStr">
        <is>
          <t>أخصائي غير طبيب</t>
        </is>
      </c>
      <c r="C51" s="5" t="inlineStr">
        <is>
          <t>أخصائي نفسي (غير طبيب)</t>
        </is>
      </c>
      <c r="D51" s="32" t="n">
        <v>1</v>
      </c>
      <c r="E51" s="32" t="n">
        <v>2</v>
      </c>
      <c r="F51" s="32" t="n">
        <v>3</v>
      </c>
      <c r="G51" s="32" t="n">
        <v>4</v>
      </c>
      <c r="H51" s="32" t="n">
        <v>4</v>
      </c>
      <c r="I51" s="32" t="n">
        <v>8</v>
      </c>
      <c r="J51" s="32" t="n">
        <v>10</v>
      </c>
      <c r="K51" s="33">
        <f>IF(RMODE="تقريب لأعلى",ROUNDUP(P51,0),ROUND(P51,0))</f>
        <v/>
      </c>
      <c r="L51" s="34" t="n"/>
      <c r="M51" s="35">
        <f>L51-K51</f>
        <v/>
      </c>
      <c r="N51" s="36">
        <f>IF(K51=0,"",L51/K51)</f>
        <v/>
      </c>
      <c r="O51" s="37">
        <f>IF(K51=0,"لا ينطبق",IF(L51&gt;=K51,"مكتمل",IF(L51=0,"لا يوجد","عجز")))</f>
        <v/>
      </c>
      <c r="P51" s="38">
        <f>IF(CAP&lt;=$D$4,D51*CAP/$D$4,IF(CAP&gt;=$J$4,J51*CAP/$J$4,INDEX($D51:$J51,$D$3)+$E$3*(INDEX($D51:$J51,$D$3+1)-INDEX($D51:$J51,$D$3))))</f>
        <v/>
      </c>
      <c r="Q51" s="39" t="inlineStr"/>
    </row>
    <row r="52">
      <c r="A52" s="30" t="n">
        <v>48</v>
      </c>
      <c r="B52" s="31" t="inlineStr">
        <is>
          <t>أخصائي غير طبيب</t>
        </is>
      </c>
      <c r="C52" s="5" t="inlineStr">
        <is>
          <t>أخصائي تغذية عامة</t>
        </is>
      </c>
      <c r="D52" s="32" t="n">
        <v>3</v>
      </c>
      <c r="E52" s="32" t="n">
        <v>4</v>
      </c>
      <c r="F52" s="32" t="n">
        <v>4</v>
      </c>
      <c r="G52" s="32" t="n">
        <v>8</v>
      </c>
      <c r="H52" s="32" t="n">
        <v>10</v>
      </c>
      <c r="I52" s="32" t="n">
        <v>12</v>
      </c>
      <c r="J52" s="32" t="n">
        <v>13</v>
      </c>
      <c r="K52" s="33">
        <f>IF(RMODE="تقريب لأعلى",ROUNDUP(P52,0),ROUND(P52,0))</f>
        <v/>
      </c>
      <c r="L52" s="34" t="n"/>
      <c r="M52" s="35">
        <f>L52-K52</f>
        <v/>
      </c>
      <c r="N52" s="36">
        <f>IF(K52=0,"",L52/K52)</f>
        <v/>
      </c>
      <c r="O52" s="37">
        <f>IF(K52=0,"لا ينطبق",IF(L52&gt;=K52,"مكتمل",IF(L52=0,"لا يوجد","عجز")))</f>
        <v/>
      </c>
      <c r="P52" s="38">
        <f>IF(CAP&lt;=$D$4,D52*CAP/$D$4,IF(CAP&gt;=$J$4,J52*CAP/$J$4,INDEX($D52:$J52,$D$3)+$E$3*(INDEX($D52:$J52,$D$3+1)-INDEX($D52:$J52,$D$3))))</f>
        <v/>
      </c>
      <c r="Q52" s="39" t="inlineStr"/>
    </row>
    <row r="53">
      <c r="A53" s="30" t="n">
        <v>49</v>
      </c>
      <c r="B53" s="31" t="inlineStr">
        <is>
          <t>أخصائي غير طبيب</t>
        </is>
      </c>
      <c r="C53" s="5" t="inlineStr">
        <is>
          <t>أخصائي تغذية سريرية</t>
        </is>
      </c>
      <c r="D53" s="32" t="n">
        <v>2</v>
      </c>
      <c r="E53" s="32" t="n">
        <v>5</v>
      </c>
      <c r="F53" s="32" t="n">
        <v>6</v>
      </c>
      <c r="G53" s="32" t="n">
        <v>8</v>
      </c>
      <c r="H53" s="32" t="n">
        <v>10</v>
      </c>
      <c r="I53" s="32" t="n">
        <v>12</v>
      </c>
      <c r="J53" s="32" t="n">
        <v>14</v>
      </c>
      <c r="K53" s="33">
        <f>IF(RMODE="تقريب لأعلى",ROUNDUP(P53,0),ROUND(P53,0))</f>
        <v/>
      </c>
      <c r="L53" s="34" t="n"/>
      <c r="M53" s="35">
        <f>L53-K53</f>
        <v/>
      </c>
      <c r="N53" s="36">
        <f>IF(K53=0,"",L53/K53)</f>
        <v/>
      </c>
      <c r="O53" s="37">
        <f>IF(K53=0,"لا ينطبق",IF(L53&gt;=K53,"مكتمل",IF(L53=0,"لا يوجد","عجز")))</f>
        <v/>
      </c>
      <c r="P53" s="38">
        <f>IF(CAP&lt;=$D$4,D53*CAP/$D$4,IF(CAP&gt;=$J$4,J53*CAP/$J$4,INDEX($D53:$J53,$D$3)+$E$3*(INDEX($D53:$J53,$D$3+1)-INDEX($D53:$J53,$D$3))))</f>
        <v/>
      </c>
      <c r="Q53" s="39" t="inlineStr"/>
    </row>
    <row r="54">
      <c r="A54" s="30" t="n">
        <v>50</v>
      </c>
      <c r="B54" s="31" t="inlineStr">
        <is>
          <t>أخصائي غير طبيب</t>
        </is>
      </c>
      <c r="C54" s="5" t="inlineStr">
        <is>
          <t>أخصائي أول تغذية سريرية</t>
        </is>
      </c>
      <c r="D54" s="32" t="n">
        <v>0</v>
      </c>
      <c r="E54" s="32" t="n">
        <v>0</v>
      </c>
      <c r="F54" s="32" t="n">
        <v>1</v>
      </c>
      <c r="G54" s="32" t="n">
        <v>2</v>
      </c>
      <c r="H54" s="32" t="n">
        <v>3</v>
      </c>
      <c r="I54" s="32" t="n">
        <v>4</v>
      </c>
      <c r="J54" s="32" t="n">
        <v>5</v>
      </c>
      <c r="K54" s="33">
        <f>IF(RMODE="تقريب لأعلى",ROUNDUP(P54,0),ROUND(P54,0))</f>
        <v/>
      </c>
      <c r="L54" s="34" t="n"/>
      <c r="M54" s="35">
        <f>L54-K54</f>
        <v/>
      </c>
      <c r="N54" s="36">
        <f>IF(K54=0,"",L54/K54)</f>
        <v/>
      </c>
      <c r="O54" s="37">
        <f>IF(K54=0,"لا ينطبق",IF(L54&gt;=K54,"مكتمل",IF(L54=0,"لا يوجد","عجز")))</f>
        <v/>
      </c>
      <c r="P54" s="38">
        <f>IF(CAP&lt;=$D$4,D54*CAP/$D$4,IF(CAP&gt;=$J$4,J54*CAP/$J$4,INDEX($D54:$J54,$D$3)+$E$3*(INDEX($D54:$J54,$D$3+1)-INDEX($D54:$J54,$D$3))))</f>
        <v/>
      </c>
      <c r="Q54" s="39" t="inlineStr"/>
    </row>
    <row r="55">
      <c r="A55" s="30" t="n">
        <v>51</v>
      </c>
      <c r="B55" s="31" t="inlineStr">
        <is>
          <t>أخصائي غير طبيب</t>
        </is>
      </c>
      <c r="C55" s="5" t="inlineStr">
        <is>
          <t>استشاري تغذية سريرية</t>
        </is>
      </c>
      <c r="D55" s="32" t="n">
        <v>0</v>
      </c>
      <c r="E55" s="32" t="n">
        <v>0</v>
      </c>
      <c r="F55" s="32" t="n">
        <v>0</v>
      </c>
      <c r="G55" s="32" t="n">
        <v>1</v>
      </c>
      <c r="H55" s="32" t="n">
        <v>1</v>
      </c>
      <c r="I55" s="32" t="n">
        <v>2</v>
      </c>
      <c r="J55" s="32" t="n">
        <v>2</v>
      </c>
      <c r="K55" s="33">
        <f>IF(RMODE="تقريب لأعلى",ROUNDUP(P55,0),ROUND(P55,0))</f>
        <v/>
      </c>
      <c r="L55" s="34" t="n"/>
      <c r="M55" s="35">
        <f>L55-K55</f>
        <v/>
      </c>
      <c r="N55" s="36">
        <f>IF(K55=0,"",L55/K55)</f>
        <v/>
      </c>
      <c r="O55" s="37">
        <f>IF(K55=0,"لا ينطبق",IF(L55&gt;=K55,"مكتمل",IF(L55=0,"لا يوجد","عجز")))</f>
        <v/>
      </c>
      <c r="P55" s="38">
        <f>IF(CAP&lt;=$D$4,D55*CAP/$D$4,IF(CAP&gt;=$J$4,J55*CAP/$J$4,INDEX($D55:$J55,$D$3)+$E$3*(INDEX($D55:$J55,$D$3+1)-INDEX($D55:$J55,$D$3))))</f>
        <v/>
      </c>
      <c r="Q55" s="39" t="inlineStr"/>
    </row>
    <row r="56">
      <c r="A56" s="30" t="n">
        <v>52</v>
      </c>
      <c r="B56" s="31" t="inlineStr">
        <is>
          <t>أخصائي غير طبيب</t>
        </is>
      </c>
      <c r="C56" s="5" t="inlineStr">
        <is>
          <t>أخصائي أول تغذية عامة / سلامة غذاء</t>
        </is>
      </c>
      <c r="D56" s="32" t="n">
        <v>0</v>
      </c>
      <c r="E56" s="32" t="n">
        <v>0</v>
      </c>
      <c r="F56" s="32" t="n">
        <v>1</v>
      </c>
      <c r="G56" s="32" t="n">
        <v>2</v>
      </c>
      <c r="H56" s="32" t="n">
        <v>2</v>
      </c>
      <c r="I56" s="32" t="n">
        <v>2</v>
      </c>
      <c r="J56" s="32" t="n">
        <v>3</v>
      </c>
      <c r="K56" s="33">
        <f>IF(RMODE="تقريب لأعلى",ROUNDUP(P56,0),ROUND(P56,0))</f>
        <v/>
      </c>
      <c r="L56" s="34" t="n"/>
      <c r="M56" s="35">
        <f>L56-K56</f>
        <v/>
      </c>
      <c r="N56" s="36">
        <f>IF(K56=0,"",L56/K56)</f>
        <v/>
      </c>
      <c r="O56" s="37">
        <f>IF(K56=0,"لا ينطبق",IF(L56&gt;=K56,"مكتمل",IF(L56=0,"لا يوجد","عجز")))</f>
        <v/>
      </c>
      <c r="P56" s="38">
        <f>IF(CAP&lt;=$D$4,D56*CAP/$D$4,IF(CAP&gt;=$J$4,J56*CAP/$J$4,INDEX($D56:$J56,$D$3)+$E$3*(INDEX($D56:$J56,$D$3+1)-INDEX($D56:$J56,$D$3))))</f>
        <v/>
      </c>
      <c r="Q56" s="39" t="inlineStr"/>
    </row>
    <row r="57">
      <c r="A57" s="30" t="n">
        <v>53</v>
      </c>
      <c r="B57" s="31" t="inlineStr">
        <is>
          <t>أخصائي غير طبيب</t>
        </is>
      </c>
      <c r="C57" s="5" t="inlineStr">
        <is>
          <t>استشاري تغذية عامة / سلامة غذاء</t>
        </is>
      </c>
      <c r="D57" s="32" t="n">
        <v>0</v>
      </c>
      <c r="E57" s="32" t="n">
        <v>0</v>
      </c>
      <c r="F57" s="32" t="n">
        <v>0</v>
      </c>
      <c r="G57" s="32" t="n">
        <v>1</v>
      </c>
      <c r="H57" s="32" t="n">
        <v>1</v>
      </c>
      <c r="I57" s="32" t="n">
        <v>2</v>
      </c>
      <c r="J57" s="32" t="n">
        <v>2</v>
      </c>
      <c r="K57" s="33">
        <f>IF(RMODE="تقريب لأعلى",ROUNDUP(P57,0),ROUND(P57,0))</f>
        <v/>
      </c>
      <c r="L57" s="34" t="n"/>
      <c r="M57" s="35">
        <f>L57-K57</f>
        <v/>
      </c>
      <c r="N57" s="36">
        <f>IF(K57=0,"",L57/K57)</f>
        <v/>
      </c>
      <c r="O57" s="37">
        <f>IF(K57=0,"لا ينطبق",IF(L57&gt;=K57,"مكتمل",IF(L57=0,"لا يوجد","عجز")))</f>
        <v/>
      </c>
      <c r="P57" s="38">
        <f>IF(CAP&lt;=$D$4,D57*CAP/$D$4,IF(CAP&gt;=$J$4,J57*CAP/$J$4,INDEX($D57:$J57,$D$3)+$E$3*(INDEX($D57:$J57,$D$3+1)-INDEX($D57:$J57,$D$3))))</f>
        <v/>
      </c>
      <c r="Q57" s="39" t="inlineStr"/>
    </row>
    <row r="58">
      <c r="A58" s="30" t="n">
        <v>54</v>
      </c>
      <c r="B58" s="31" t="inlineStr">
        <is>
          <t>أخصائي غير طبيب</t>
        </is>
      </c>
      <c r="C58" s="5" t="inlineStr">
        <is>
          <t>أخصائي ضمان الجودة وسلامة المرضى</t>
        </is>
      </c>
      <c r="D58" s="32" t="n">
        <v>2</v>
      </c>
      <c r="E58" s="32" t="n">
        <v>4</v>
      </c>
      <c r="F58" s="32" t="n">
        <v>4</v>
      </c>
      <c r="G58" s="32" t="n">
        <v>6</v>
      </c>
      <c r="H58" s="32" t="n">
        <v>6</v>
      </c>
      <c r="I58" s="32" t="n">
        <v>8</v>
      </c>
      <c r="J58" s="32" t="n">
        <v>10</v>
      </c>
      <c r="K58" s="33">
        <f>IF(RMODE="تقريب لأعلى",ROUNDUP(P58,0),ROUND(P58,0))</f>
        <v/>
      </c>
      <c r="L58" s="34" t="n"/>
      <c r="M58" s="35">
        <f>L58-K58</f>
        <v/>
      </c>
      <c r="N58" s="36">
        <f>IF(K58=0,"",L58/K58)</f>
        <v/>
      </c>
      <c r="O58" s="37">
        <f>IF(K58=0,"لا ينطبق",IF(L58&gt;=K58,"مكتمل",IF(L58=0,"لا يوجد","عجز")))</f>
        <v/>
      </c>
      <c r="P58" s="38">
        <f>IF(CAP&lt;=$D$4,D58*CAP/$D$4,IF(CAP&gt;=$J$4,J58*CAP/$J$4,INDEX($D58:$J58,$D$3)+$E$3*(INDEX($D58:$J58,$D$3+1)-INDEX($D58:$J58,$D$3))))</f>
        <v/>
      </c>
      <c r="Q58" s="39" t="inlineStr">
        <is>
          <t>إيضاح 7</t>
        </is>
      </c>
    </row>
    <row r="59">
      <c r="A59" s="30" t="n">
        <v>55</v>
      </c>
      <c r="B59" s="31" t="inlineStr">
        <is>
          <t>أخصائي غير طبيب</t>
        </is>
      </c>
      <c r="C59" s="5" t="inlineStr">
        <is>
          <t>أخصائي تجربة المريض</t>
        </is>
      </c>
      <c r="D59" s="32" t="n">
        <v>1</v>
      </c>
      <c r="E59" s="32" t="n">
        <v>2</v>
      </c>
      <c r="F59" s="32" t="n">
        <v>4</v>
      </c>
      <c r="G59" s="32" t="n">
        <v>5</v>
      </c>
      <c r="H59" s="32" t="n">
        <v>7</v>
      </c>
      <c r="I59" s="32" t="n">
        <v>9</v>
      </c>
      <c r="J59" s="32" t="n">
        <v>10</v>
      </c>
      <c r="K59" s="33">
        <f>IF(RMODE="تقريب لأعلى",ROUNDUP(P59,0),ROUND(P59,0))</f>
        <v/>
      </c>
      <c r="L59" s="34" t="n"/>
      <c r="M59" s="35">
        <f>L59-K59</f>
        <v/>
      </c>
      <c r="N59" s="36">
        <f>IF(K59=0,"",L59/K59)</f>
        <v/>
      </c>
      <c r="O59" s="37">
        <f>IF(K59=0,"لا ينطبق",IF(L59&gt;=K59,"مكتمل",IF(L59=0,"لا يوجد","عجز")))</f>
        <v/>
      </c>
      <c r="P59" s="38">
        <f>IF(CAP&lt;=$D$4,D59*CAP/$D$4,IF(CAP&gt;=$J$4,J59*CAP/$J$4,INDEX($D59:$J59,$D$3)+$E$3*(INDEX($D59:$J59,$D$3+1)-INDEX($D59:$J59,$D$3))))</f>
        <v/>
      </c>
      <c r="Q59" s="39" t="inlineStr"/>
    </row>
    <row r="60">
      <c r="A60" s="30" t="n">
        <v>56</v>
      </c>
      <c r="B60" s="31" t="inlineStr">
        <is>
          <t>أخصائي غير طبيب</t>
        </is>
      </c>
      <c r="C60" s="5" t="inlineStr">
        <is>
          <t>أخصائي معلوماتية صحية</t>
        </is>
      </c>
      <c r="D60" s="32" t="n">
        <v>5</v>
      </c>
      <c r="E60" s="32" t="n">
        <v>10</v>
      </c>
      <c r="F60" s="32" t="n">
        <v>15</v>
      </c>
      <c r="G60" s="32" t="n">
        <v>15</v>
      </c>
      <c r="H60" s="32" t="n">
        <v>20</v>
      </c>
      <c r="I60" s="32" t="n">
        <v>25</v>
      </c>
      <c r="J60" s="32" t="n">
        <v>30</v>
      </c>
      <c r="K60" s="33">
        <f>IF(RMODE="تقريب لأعلى",ROUNDUP(P60,0),ROUND(P60,0))</f>
        <v/>
      </c>
      <c r="L60" s="34" t="n"/>
      <c r="M60" s="35">
        <f>L60-K60</f>
        <v/>
      </c>
      <c r="N60" s="36">
        <f>IF(K60=0,"",L60/K60)</f>
        <v/>
      </c>
      <c r="O60" s="37">
        <f>IF(K60=0,"لا ينطبق",IF(L60&gt;=K60,"مكتمل",IF(L60=0,"لا يوجد","عجز")))</f>
        <v/>
      </c>
      <c r="P60" s="38">
        <f>IF(CAP&lt;=$D$4,D60*CAP/$D$4,IF(CAP&gt;=$J$4,J60*CAP/$J$4,INDEX($D60:$J60,$D$3)+$E$3*(INDEX($D60:$J60,$D$3+1)-INDEX($D60:$J60,$D$3))))</f>
        <v/>
      </c>
      <c r="Q60" s="39" t="inlineStr"/>
    </row>
    <row r="61">
      <c r="A61" s="30" t="n">
        <v>57</v>
      </c>
      <c r="B61" s="31" t="inlineStr">
        <is>
          <t>أخصائي غير طبيب</t>
        </is>
      </c>
      <c r="C61" s="5" t="inlineStr">
        <is>
          <t>أخصائي جودة / مهندس ضبط وتحكم في الجودة</t>
        </is>
      </c>
      <c r="D61" s="32" t="n">
        <v>2</v>
      </c>
      <c r="E61" s="32" t="n">
        <v>2</v>
      </c>
      <c r="F61" s="32" t="n">
        <v>2</v>
      </c>
      <c r="G61" s="32" t="n">
        <v>2</v>
      </c>
      <c r="H61" s="32" t="n">
        <v>2</v>
      </c>
      <c r="I61" s="32" t="n">
        <v>2</v>
      </c>
      <c r="J61" s="32" t="n">
        <v>2</v>
      </c>
      <c r="K61" s="33">
        <f>IF(RMODE="تقريب لأعلى",ROUNDUP(P61,0),ROUND(P61,0))</f>
        <v/>
      </c>
      <c r="L61" s="34" t="n"/>
      <c r="M61" s="35">
        <f>L61-K61</f>
        <v/>
      </c>
      <c r="N61" s="36">
        <f>IF(K61=0,"",L61/K61)</f>
        <v/>
      </c>
      <c r="O61" s="37">
        <f>IF(K61=0,"لا ينطبق",IF(L61&gt;=K61,"مكتمل",IF(L61=0,"لا يوجد","عجز")))</f>
        <v/>
      </c>
      <c r="P61" s="38">
        <f>IF(CAP&lt;=$D$4,D61*CAP/$D$4,IF(CAP&gt;=$J$4,J61*CAP/$J$4,INDEX($D61:$J61,$D$3)+$E$3*(INDEX($D61:$J61,$D$3+1)-INDEX($D61:$J61,$D$3))))</f>
        <v/>
      </c>
      <c r="Q61" s="39" t="inlineStr">
        <is>
          <t>إيضاح 7</t>
        </is>
      </c>
    </row>
    <row r="62">
      <c r="A62" s="30" t="n">
        <v>58</v>
      </c>
      <c r="B62" s="31" t="inlineStr">
        <is>
          <t>أخصائي غير طبيب</t>
        </is>
      </c>
      <c r="C62" s="5" t="inlineStr">
        <is>
          <t>أخصائي تقنية قلب</t>
        </is>
      </c>
      <c r="D62" s="32" t="n">
        <v>0</v>
      </c>
      <c r="E62" s="32" t="n">
        <v>0</v>
      </c>
      <c r="F62" s="32" t="n">
        <v>0</v>
      </c>
      <c r="G62" s="32" t="n">
        <v>2</v>
      </c>
      <c r="H62" s="32" t="n">
        <v>3</v>
      </c>
      <c r="I62" s="32" t="n">
        <v>4</v>
      </c>
      <c r="J62" s="32" t="n">
        <v>4</v>
      </c>
      <c r="K62" s="33">
        <f>IF(RMODE="تقريب لأعلى",ROUNDUP(P62,0),ROUND(P62,0))</f>
        <v/>
      </c>
      <c r="L62" s="34" t="n"/>
      <c r="M62" s="35">
        <f>L62-K62</f>
        <v/>
      </c>
      <c r="N62" s="36">
        <f>IF(K62=0,"",L62/K62)</f>
        <v/>
      </c>
      <c r="O62" s="37">
        <f>IF(K62=0,"لا ينطبق",IF(L62&gt;=K62,"مكتمل",IF(L62=0,"لا يوجد","عجز")))</f>
        <v/>
      </c>
      <c r="P62" s="38">
        <f>IF(CAP&lt;=$D$4,D62*CAP/$D$4,IF(CAP&gt;=$J$4,J62*CAP/$J$4,INDEX($D62:$J62,$D$3)+$E$3*(INDEX($D62:$J62,$D$3+1)-INDEX($D62:$J62,$D$3))))</f>
        <v/>
      </c>
      <c r="Q62" s="39" t="inlineStr"/>
    </row>
    <row r="63">
      <c r="A63" s="30" t="n">
        <v>59</v>
      </c>
      <c r="B63" s="31" t="inlineStr">
        <is>
          <t>أخصائي غير طبيب</t>
        </is>
      </c>
      <c r="C63" s="5" t="inlineStr">
        <is>
          <t>أخصائي تثقيف صحي (غير طبيب)</t>
        </is>
      </c>
      <c r="D63" s="32" t="n">
        <v>2</v>
      </c>
      <c r="E63" s="32" t="n">
        <v>2</v>
      </c>
      <c r="F63" s="32" t="n">
        <v>2</v>
      </c>
      <c r="G63" s="32" t="n">
        <v>2</v>
      </c>
      <c r="H63" s="32" t="n">
        <v>3</v>
      </c>
      <c r="I63" s="32" t="n">
        <v>4</v>
      </c>
      <c r="J63" s="32" t="n">
        <v>4</v>
      </c>
      <c r="K63" s="33">
        <f>IF(RMODE="تقريب لأعلى",ROUNDUP(P63,0),ROUND(P63,0))</f>
        <v/>
      </c>
      <c r="L63" s="34" t="n"/>
      <c r="M63" s="35">
        <f>L63-K63</f>
        <v/>
      </c>
      <c r="N63" s="36">
        <f>IF(K63=0,"",L63/K63)</f>
        <v/>
      </c>
      <c r="O63" s="37">
        <f>IF(K63=0,"لا ينطبق",IF(L63&gt;=K63,"مكتمل",IF(L63=0,"لا يوجد","عجز")))</f>
        <v/>
      </c>
      <c r="P63" s="38">
        <f>IF(CAP&lt;=$D$4,D63*CAP/$D$4,IF(CAP&gt;=$J$4,J63*CAP/$J$4,INDEX($D63:$J63,$D$3)+$E$3*(INDEX($D63:$J63,$D$3+1)-INDEX($D63:$J63,$D$3))))</f>
        <v/>
      </c>
      <c r="Q63" s="39" t="inlineStr"/>
    </row>
    <row r="64">
      <c r="A64" s="30" t="n">
        <v>60</v>
      </c>
      <c r="B64" s="31" t="inlineStr">
        <is>
          <t>أخصائي غير طبيب</t>
        </is>
      </c>
      <c r="C64" s="5" t="inlineStr">
        <is>
          <t>أخصائي جبائر</t>
        </is>
      </c>
      <c r="D64" s="32" t="n">
        <v>0</v>
      </c>
      <c r="E64" s="32" t="n">
        <v>1</v>
      </c>
      <c r="F64" s="32" t="n">
        <v>1</v>
      </c>
      <c r="G64" s="32" t="n">
        <v>2</v>
      </c>
      <c r="H64" s="32" t="n">
        <v>3</v>
      </c>
      <c r="I64" s="32" t="n">
        <v>3</v>
      </c>
      <c r="J64" s="32" t="n">
        <v>4</v>
      </c>
      <c r="K64" s="33">
        <f>IF(RMODE="تقريب لأعلى",ROUNDUP(P64,0),ROUND(P64,0))</f>
        <v/>
      </c>
      <c r="L64" s="34" t="n"/>
      <c r="M64" s="35">
        <f>L64-K64</f>
        <v/>
      </c>
      <c r="N64" s="36">
        <f>IF(K64=0,"",L64/K64)</f>
        <v/>
      </c>
      <c r="O64" s="37">
        <f>IF(K64=0,"لا ينطبق",IF(L64&gt;=K64,"مكتمل",IF(L64=0,"لا يوجد","عجز")))</f>
        <v/>
      </c>
      <c r="P64" s="38">
        <f>IF(CAP&lt;=$D$4,D64*CAP/$D$4,IF(CAP&gt;=$J$4,J64*CAP/$J$4,INDEX($D64:$J64,$D$3)+$E$3*(INDEX($D64:$J64,$D$3+1)-INDEX($D64:$J64,$D$3))))</f>
        <v/>
      </c>
      <c r="Q64" s="39" t="inlineStr"/>
    </row>
    <row r="65">
      <c r="A65" s="30" t="n">
        <v>61</v>
      </c>
      <c r="B65" s="31" t="inlineStr">
        <is>
          <t>أخصائي غير طبيب</t>
        </is>
      </c>
      <c r="C65" s="5" t="inlineStr">
        <is>
          <t>أخصائي مناظير باطني</t>
        </is>
      </c>
      <c r="D65" s="32" t="n">
        <v>0</v>
      </c>
      <c r="E65" s="32" t="n">
        <v>0</v>
      </c>
      <c r="F65" s="32" t="n">
        <v>2</v>
      </c>
      <c r="G65" s="32" t="n">
        <v>2</v>
      </c>
      <c r="H65" s="32" t="n">
        <v>3</v>
      </c>
      <c r="I65" s="32" t="n">
        <v>4</v>
      </c>
      <c r="J65" s="32" t="n">
        <v>4</v>
      </c>
      <c r="K65" s="33">
        <f>IF(RMODE="تقريب لأعلى",ROUNDUP(P65,0),ROUND(P65,0))</f>
        <v/>
      </c>
      <c r="L65" s="34" t="n"/>
      <c r="M65" s="35">
        <f>L65-K65</f>
        <v/>
      </c>
      <c r="N65" s="36">
        <f>IF(K65=0,"",L65/K65)</f>
        <v/>
      </c>
      <c r="O65" s="37">
        <f>IF(K65=0,"لا ينطبق",IF(L65&gt;=K65,"مكتمل",IF(L65=0,"لا يوجد","عجز")))</f>
        <v/>
      </c>
      <c r="P65" s="38">
        <f>IF(CAP&lt;=$D$4,D65*CAP/$D$4,IF(CAP&gt;=$J$4,J65*CAP/$J$4,INDEX($D65:$J65,$D$3)+$E$3*(INDEX($D65:$J65,$D$3+1)-INDEX($D65:$J65,$D$3))))</f>
        <v/>
      </c>
      <c r="Q65" s="39" t="inlineStr"/>
    </row>
    <row r="66">
      <c r="A66" s="30" t="n">
        <v>62</v>
      </c>
      <c r="B66" s="31" t="inlineStr">
        <is>
          <t>أخصائي غير طبيب</t>
        </is>
      </c>
      <c r="C66" s="5" t="inlineStr">
        <is>
          <t>أخصائي طب طوارئ</t>
        </is>
      </c>
      <c r="D66" s="32" t="n">
        <v>5</v>
      </c>
      <c r="E66" s="32" t="n">
        <v>6</v>
      </c>
      <c r="F66" s="32" t="n">
        <v>10</v>
      </c>
      <c r="G66" s="32" t="n">
        <v>12</v>
      </c>
      <c r="H66" s="32" t="n">
        <v>15</v>
      </c>
      <c r="I66" s="32" t="n">
        <v>18</v>
      </c>
      <c r="J66" s="32" t="n">
        <v>20</v>
      </c>
      <c r="K66" s="33">
        <f>IF(RMODE="تقريب لأعلى",ROUNDUP(P66,0),ROUND(P66,0))</f>
        <v/>
      </c>
      <c r="L66" s="34" t="n"/>
      <c r="M66" s="35">
        <f>L66-K66</f>
        <v/>
      </c>
      <c r="N66" s="36">
        <f>IF(K66=0,"",L66/K66)</f>
        <v/>
      </c>
      <c r="O66" s="37">
        <f>IF(K66=0,"لا ينطبق",IF(L66&gt;=K66,"مكتمل",IF(L66=0,"لا يوجد","عجز")))</f>
        <v/>
      </c>
      <c r="P66" s="38">
        <f>IF(CAP&lt;=$D$4,D66*CAP/$D$4,IF(CAP&gt;=$J$4,J66*CAP/$J$4,INDEX($D66:$J66,$D$3)+$E$3*(INDEX($D66:$J66,$D$3+1)-INDEX($D66:$J66,$D$3))))</f>
        <v/>
      </c>
      <c r="Q66" s="39" t="inlineStr"/>
    </row>
    <row r="67">
      <c r="A67" s="30" t="n">
        <v>63</v>
      </c>
      <c r="B67" s="31" t="inlineStr">
        <is>
          <t>أخصائي غير طبيب</t>
        </is>
      </c>
      <c r="C67" s="5" t="inlineStr">
        <is>
          <t>أخصائي تخطيط المخ والأعصاب</t>
        </is>
      </c>
      <c r="D67" s="32" t="n">
        <v>0</v>
      </c>
      <c r="E67" s="32" t="n">
        <v>0</v>
      </c>
      <c r="F67" s="32" t="n">
        <v>2</v>
      </c>
      <c r="G67" s="32" t="n">
        <v>2</v>
      </c>
      <c r="H67" s="32" t="n">
        <v>3</v>
      </c>
      <c r="I67" s="32" t="n">
        <v>4</v>
      </c>
      <c r="J67" s="32" t="n">
        <v>4</v>
      </c>
      <c r="K67" s="33">
        <f>IF(RMODE="تقريب لأعلى",ROUNDUP(P67,0),ROUND(P67,0))</f>
        <v/>
      </c>
      <c r="L67" s="34" t="n"/>
      <c r="M67" s="35">
        <f>L67-K67</f>
        <v/>
      </c>
      <c r="N67" s="36">
        <f>IF(K67=0,"",L67/K67)</f>
        <v/>
      </c>
      <c r="O67" s="37">
        <f>IF(K67=0,"لا ينطبق",IF(L67&gt;=K67,"مكتمل",IF(L67=0,"لا يوجد","عجز")))</f>
        <v/>
      </c>
      <c r="P67" s="38">
        <f>IF(CAP&lt;=$D$4,D67*CAP/$D$4,IF(CAP&gt;=$J$4,J67*CAP/$J$4,INDEX($D67:$J67,$D$3)+$E$3*(INDEX($D67:$J67,$D$3+1)-INDEX($D67:$J67,$D$3))))</f>
        <v/>
      </c>
      <c r="Q67" s="39" t="inlineStr"/>
    </row>
    <row r="68">
      <c r="A68" s="30" t="n">
        <v>64</v>
      </c>
      <c r="B68" s="31" t="inlineStr">
        <is>
          <t>أخصائي غير طبيب</t>
        </is>
      </c>
      <c r="C68" s="5" t="inlineStr">
        <is>
          <t>أخصائي تقنية كلى</t>
        </is>
      </c>
      <c r="D68" s="32" t="n">
        <v>0</v>
      </c>
      <c r="E68" s="32" t="n">
        <v>2</v>
      </c>
      <c r="F68" s="32" t="n">
        <v>2</v>
      </c>
      <c r="G68" s="32" t="n">
        <v>2</v>
      </c>
      <c r="H68" s="32" t="n">
        <v>3</v>
      </c>
      <c r="I68" s="32" t="n">
        <v>4</v>
      </c>
      <c r="J68" s="32" t="n">
        <v>4</v>
      </c>
      <c r="K68" s="33">
        <f>IF(RMODE="تقريب لأعلى",ROUNDUP(P68,0),ROUND(P68,0))</f>
        <v/>
      </c>
      <c r="L68" s="34" t="n"/>
      <c r="M68" s="35">
        <f>L68-K68</f>
        <v/>
      </c>
      <c r="N68" s="36">
        <f>IF(K68=0,"",L68/K68)</f>
        <v/>
      </c>
      <c r="O68" s="37">
        <f>IF(K68=0,"لا ينطبق",IF(L68&gt;=K68,"مكتمل",IF(L68=0,"لا يوجد","عجز")))</f>
        <v/>
      </c>
      <c r="P68" s="38">
        <f>IF(CAP&lt;=$D$4,D68*CAP/$D$4,IF(CAP&gt;=$J$4,J68*CAP/$J$4,INDEX($D68:$J68,$D$3)+$E$3*(INDEX($D68:$J68,$D$3+1)-INDEX($D68:$J68,$D$3))))</f>
        <v/>
      </c>
      <c r="Q68" s="39" t="inlineStr"/>
    </row>
    <row r="69">
      <c r="A69" s="30" t="n">
        <v>65</v>
      </c>
      <c r="B69" s="31" t="inlineStr">
        <is>
          <t>أخصائي غير طبيب</t>
        </is>
      </c>
      <c r="C69" s="5" t="inlineStr">
        <is>
          <t>أخصائي تعقيم (غير طبيب)</t>
        </is>
      </c>
      <c r="D69" s="32" t="n">
        <v>4</v>
      </c>
      <c r="E69" s="32" t="n">
        <v>4</v>
      </c>
      <c r="F69" s="32" t="n">
        <v>5</v>
      </c>
      <c r="G69" s="32" t="n">
        <v>6</v>
      </c>
      <c r="H69" s="32" t="n">
        <v>7</v>
      </c>
      <c r="I69" s="32" t="n">
        <v>8</v>
      </c>
      <c r="J69" s="32" t="n">
        <v>10</v>
      </c>
      <c r="K69" s="33">
        <f>IF(RMODE="تقريب لأعلى",ROUNDUP(P69,0),ROUND(P69,0))</f>
        <v/>
      </c>
      <c r="L69" s="34" t="n"/>
      <c r="M69" s="35">
        <f>L69-K69</f>
        <v/>
      </c>
      <c r="N69" s="36">
        <f>IF(K69=0,"",L69/K69)</f>
        <v/>
      </c>
      <c r="O69" s="37">
        <f>IF(K69=0,"لا ينطبق",IF(L69&gt;=K69,"مكتمل",IF(L69=0,"لا يوجد","عجز")))</f>
        <v/>
      </c>
      <c r="P69" s="38">
        <f>IF(CAP&lt;=$D$4,D69*CAP/$D$4,IF(CAP&gt;=$J$4,J69*CAP/$J$4,INDEX($D69:$J69,$D$3)+$E$3*(INDEX($D69:$J69,$D$3+1)-INDEX($D69:$J69,$D$3))))</f>
        <v/>
      </c>
      <c r="Q69" s="39" t="inlineStr"/>
    </row>
    <row r="70">
      <c r="A70" s="30" t="n">
        <v>66</v>
      </c>
      <c r="B70" s="31" t="inlineStr">
        <is>
          <t>أخصائي غير طبيب</t>
        </is>
      </c>
      <c r="C70" s="5" t="inlineStr">
        <is>
          <t>أخصائي مساعد طبيب أسنان</t>
        </is>
      </c>
      <c r="D70" s="32" t="n">
        <v>0</v>
      </c>
      <c r="E70" s="32" t="n">
        <v>2</v>
      </c>
      <c r="F70" s="32" t="n">
        <v>2</v>
      </c>
      <c r="G70" s="32" t="n">
        <v>2</v>
      </c>
      <c r="H70" s="32" t="n">
        <v>2</v>
      </c>
      <c r="I70" s="32" t="n">
        <v>2</v>
      </c>
      <c r="J70" s="32" t="n">
        <v>2</v>
      </c>
      <c r="K70" s="33">
        <f>IF(RMODE="تقريب لأعلى",ROUNDUP(P70,0),ROUND(P70,0))</f>
        <v/>
      </c>
      <c r="L70" s="34" t="n"/>
      <c r="M70" s="35">
        <f>L70-K70</f>
        <v/>
      </c>
      <c r="N70" s="36">
        <f>IF(K70=0,"",L70/K70)</f>
        <v/>
      </c>
      <c r="O70" s="37">
        <f>IF(K70=0,"لا ينطبق",IF(L70&gt;=K70,"مكتمل",IF(L70=0,"لا يوجد","عجز")))</f>
        <v/>
      </c>
      <c r="P70" s="38">
        <f>IF(CAP&lt;=$D$4,D70*CAP/$D$4,IF(CAP&gt;=$J$4,J70*CAP/$J$4,INDEX($D70:$J70,$D$3)+$E$3*(INDEX($D70:$J70,$D$3+1)-INDEX($D70:$J70,$D$3))))</f>
        <v/>
      </c>
      <c r="Q70" s="39" t="inlineStr"/>
    </row>
    <row r="71">
      <c r="A71" s="30" t="n">
        <v>67</v>
      </c>
      <c r="B71" s="31" t="inlineStr">
        <is>
          <t>أخصائي غير طبيب</t>
        </is>
      </c>
      <c r="C71" s="5" t="inlineStr">
        <is>
          <t>أخصائي عمليات</t>
        </is>
      </c>
      <c r="D71" s="32" t="n">
        <v>3</v>
      </c>
      <c r="E71" s="32" t="n">
        <v>6</v>
      </c>
      <c r="F71" s="32" t="n">
        <v>8</v>
      </c>
      <c r="G71" s="32" t="n">
        <v>9</v>
      </c>
      <c r="H71" s="32" t="n">
        <v>10</v>
      </c>
      <c r="I71" s="32" t="n">
        <v>15</v>
      </c>
      <c r="J71" s="32" t="n">
        <v>18</v>
      </c>
      <c r="K71" s="33">
        <f>IF(RMODE="تقريب لأعلى",ROUNDUP(P71,0),ROUND(P71,0))</f>
        <v/>
      </c>
      <c r="L71" s="34" t="n"/>
      <c r="M71" s="35">
        <f>L71-K71</f>
        <v/>
      </c>
      <c r="N71" s="36">
        <f>IF(K71=0,"",L71/K71)</f>
        <v/>
      </c>
      <c r="O71" s="37">
        <f>IF(K71=0,"لا ينطبق",IF(L71&gt;=K71,"مكتمل",IF(L71=0,"لا يوجد","عجز")))</f>
        <v/>
      </c>
      <c r="P71" s="38">
        <f>IF(CAP&lt;=$D$4,D71*CAP/$D$4,IF(CAP&gt;=$J$4,J71*CAP/$J$4,INDEX($D71:$J71,$D$3)+$E$3*(INDEX($D71:$J71,$D$3+1)-INDEX($D71:$J71,$D$3))))</f>
        <v/>
      </c>
      <c r="Q71" s="39" t="inlineStr"/>
    </row>
    <row r="72">
      <c r="A72" s="30" t="n">
        <v>68</v>
      </c>
      <c r="B72" s="31" t="inlineStr">
        <is>
          <t>أخصائي غير طبيب</t>
        </is>
      </c>
      <c r="C72" s="5" t="inlineStr">
        <is>
          <t>مدير مستشفى</t>
        </is>
      </c>
      <c r="D72" s="32" t="n">
        <v>1</v>
      </c>
      <c r="E72" s="32" t="n">
        <v>1</v>
      </c>
      <c r="F72" s="32" t="n">
        <v>1</v>
      </c>
      <c r="G72" s="32" t="n">
        <v>1</v>
      </c>
      <c r="H72" s="32" t="n">
        <v>1</v>
      </c>
      <c r="I72" s="32" t="n">
        <v>1</v>
      </c>
      <c r="J72" s="32" t="n">
        <v>1</v>
      </c>
      <c r="K72" s="33">
        <f>IF(RMODE="تقريب لأعلى",ROUNDUP(P72,0),ROUND(P72,0))</f>
        <v/>
      </c>
      <c r="L72" s="34" t="n"/>
      <c r="M72" s="35">
        <f>L72-K72</f>
        <v/>
      </c>
      <c r="N72" s="36">
        <f>IF(K72=0,"",L72/K72)</f>
        <v/>
      </c>
      <c r="O72" s="37">
        <f>IF(K72=0,"لا ينطبق",IF(L72&gt;=K72,"مكتمل",IF(L72=0,"لا يوجد","عجز")))</f>
        <v/>
      </c>
      <c r="P72" s="38">
        <f>IF(CAP&lt;=$D$4,D72*CAP/$D$4,IF(CAP&gt;=$J$4,J72*CAP/$J$4,INDEX($D72:$J72,$D$3)+$E$3*(INDEX($D72:$J72,$D$3+1)-INDEX($D72:$J72,$D$3))))</f>
        <v/>
      </c>
      <c r="Q72" s="39" t="inlineStr"/>
    </row>
    <row r="73">
      <c r="A73" s="30" t="n">
        <v>69</v>
      </c>
      <c r="B73" s="31" t="inlineStr">
        <is>
          <t>أخصائي غير طبيب</t>
        </is>
      </c>
      <c r="C73" s="5" t="inlineStr">
        <is>
          <t>أخصائي مسالك بولية (غير طبيب)</t>
        </is>
      </c>
      <c r="D73" s="32" t="n">
        <v>0</v>
      </c>
      <c r="E73" s="32" t="n">
        <v>0</v>
      </c>
      <c r="F73" s="32" t="n">
        <v>0</v>
      </c>
      <c r="G73" s="32" t="n">
        <v>1</v>
      </c>
      <c r="H73" s="32" t="n">
        <v>1</v>
      </c>
      <c r="I73" s="32" t="n">
        <v>1</v>
      </c>
      <c r="J73" s="32" t="n">
        <v>2</v>
      </c>
      <c r="K73" s="33">
        <f>IF(RMODE="تقريب لأعلى",ROUNDUP(P73,0),ROUND(P73,0))</f>
        <v/>
      </c>
      <c r="L73" s="34" t="n"/>
      <c r="M73" s="35">
        <f>L73-K73</f>
        <v/>
      </c>
      <c r="N73" s="36">
        <f>IF(K73=0,"",L73/K73)</f>
        <v/>
      </c>
      <c r="O73" s="37">
        <f>IF(K73=0,"لا ينطبق",IF(L73&gt;=K73,"مكتمل",IF(L73=0,"لا يوجد","عجز")))</f>
        <v/>
      </c>
      <c r="P73" s="38">
        <f>IF(CAP&lt;=$D$4,D73*CAP/$D$4,IF(CAP&gt;=$J$4,J73*CAP/$J$4,INDEX($D73:$J73,$D$3)+$E$3*(INDEX($D73:$J73,$D$3+1)-INDEX($D73:$J73,$D$3))))</f>
        <v/>
      </c>
      <c r="Q73" s="39" t="inlineStr"/>
    </row>
    <row r="74">
      <c r="A74" s="30" t="n">
        <v>70</v>
      </c>
      <c r="B74" s="31" t="inlineStr">
        <is>
          <t>أخصائي غير طبيب</t>
        </is>
      </c>
      <c r="C74" s="5" t="inlineStr">
        <is>
          <t>أخصائي توثيق إكلينيكي CDI</t>
        </is>
      </c>
      <c r="D74" s="32" t="n">
        <v>1</v>
      </c>
      <c r="E74" s="32" t="n">
        <v>2</v>
      </c>
      <c r="F74" s="32" t="n">
        <v>2</v>
      </c>
      <c r="G74" s="32" t="n">
        <v>2</v>
      </c>
      <c r="H74" s="32" t="n">
        <v>2</v>
      </c>
      <c r="I74" s="32" t="n">
        <v>2</v>
      </c>
      <c r="J74" s="32" t="n">
        <v>3</v>
      </c>
      <c r="K74" s="33">
        <f>IF(RMODE="تقريب لأعلى",ROUNDUP(P74,0),ROUND(P74,0))</f>
        <v/>
      </c>
      <c r="L74" s="34" t="n"/>
      <c r="M74" s="35">
        <f>L74-K74</f>
        <v/>
      </c>
      <c r="N74" s="36">
        <f>IF(K74=0,"",L74/K74)</f>
        <v/>
      </c>
      <c r="O74" s="37">
        <f>IF(K74=0,"لا ينطبق",IF(L74&gt;=K74,"مكتمل",IF(L74=0,"لا يوجد","عجز")))</f>
        <v/>
      </c>
      <c r="P74" s="38">
        <f>IF(CAP&lt;=$D$4,D74*CAP/$D$4,IF(CAP&gt;=$J$4,J74*CAP/$J$4,INDEX($D74:$J74,$D$3)+$E$3*(INDEX($D74:$J74,$D$3+1)-INDEX($D74:$J74,$D$3))))</f>
        <v/>
      </c>
      <c r="Q74" s="39" t="inlineStr"/>
    </row>
    <row r="75">
      <c r="A75" s="30" t="n">
        <v>71</v>
      </c>
      <c r="B75" s="31" t="inlineStr">
        <is>
          <t>أخصائي غير طبيب</t>
        </is>
      </c>
      <c r="C75" s="5" t="inlineStr">
        <is>
          <t>أخصائي إدارة مخاطر</t>
        </is>
      </c>
      <c r="D75" s="32" t="n">
        <v>1</v>
      </c>
      <c r="E75" s="32" t="n">
        <v>1</v>
      </c>
      <c r="F75" s="32" t="n">
        <v>1</v>
      </c>
      <c r="G75" s="32" t="n">
        <v>1</v>
      </c>
      <c r="H75" s="32" t="n">
        <v>1</v>
      </c>
      <c r="I75" s="32" t="n">
        <v>2</v>
      </c>
      <c r="J75" s="32" t="n">
        <v>2</v>
      </c>
      <c r="K75" s="33">
        <f>IF(RMODE="تقريب لأعلى",ROUNDUP(P75,0),ROUND(P75,0))</f>
        <v/>
      </c>
      <c r="L75" s="34" t="n"/>
      <c r="M75" s="35">
        <f>L75-K75</f>
        <v/>
      </c>
      <c r="N75" s="36">
        <f>IF(K75=0,"",L75/K75)</f>
        <v/>
      </c>
      <c r="O75" s="37">
        <f>IF(K75=0,"لا ينطبق",IF(L75&gt;=K75,"مكتمل",IF(L75=0,"لا يوجد","عجز")))</f>
        <v/>
      </c>
      <c r="P75" s="38">
        <f>IF(CAP&lt;=$D$4,D75*CAP/$D$4,IF(CAP&gt;=$J$4,J75*CAP/$J$4,INDEX($D75:$J75,$D$3)+$E$3*(INDEX($D75:$J75,$D$3+1)-INDEX($D75:$J75,$D$3))))</f>
        <v/>
      </c>
      <c r="Q75" s="39" t="inlineStr"/>
    </row>
    <row r="76">
      <c r="A76" s="30" t="n">
        <v>72</v>
      </c>
      <c r="B76" s="31" t="inlineStr">
        <is>
          <t>أخصائي غير طبيب</t>
        </is>
      </c>
      <c r="C76" s="5" t="inlineStr">
        <is>
          <t>مساعد مدير مستشفى</t>
        </is>
      </c>
      <c r="D76" s="32" t="n">
        <v>1</v>
      </c>
      <c r="E76" s="32" t="n">
        <v>1</v>
      </c>
      <c r="F76" s="32" t="n">
        <v>1</v>
      </c>
      <c r="G76" s="32" t="n">
        <v>1</v>
      </c>
      <c r="H76" s="32" t="n">
        <v>1</v>
      </c>
      <c r="I76" s="32" t="n">
        <v>2</v>
      </c>
      <c r="J76" s="32" t="n">
        <v>3</v>
      </c>
      <c r="K76" s="33">
        <f>IF(RMODE="تقريب لأعلى",ROUNDUP(P76,0),ROUND(P76,0))</f>
        <v/>
      </c>
      <c r="L76" s="34" t="n"/>
      <c r="M76" s="35">
        <f>L76-K76</f>
        <v/>
      </c>
      <c r="N76" s="36">
        <f>IF(K76=0,"",L76/K76)</f>
        <v/>
      </c>
      <c r="O76" s="37">
        <f>IF(K76=0,"لا ينطبق",IF(L76&gt;=K76,"مكتمل",IF(L76=0,"لا يوجد","عجز")))</f>
        <v/>
      </c>
      <c r="P76" s="38">
        <f>IF(CAP&lt;=$D$4,D76*CAP/$D$4,IF(CAP&gt;=$J$4,J76*CAP/$J$4,INDEX($D76:$J76,$D$3)+$E$3*(INDEX($D76:$J76,$D$3+1)-INDEX($D76:$J76,$D$3))))</f>
        <v/>
      </c>
      <c r="Q76" s="39" t="inlineStr"/>
    </row>
    <row r="77">
      <c r="A77" s="30" t="n">
        <v>73</v>
      </c>
      <c r="B77" s="31" t="inlineStr">
        <is>
          <t>أخصائي غير طبيب</t>
        </is>
      </c>
      <c r="C77" s="5" t="inlineStr">
        <is>
          <t>أخصائي استشاري وراثي</t>
        </is>
      </c>
      <c r="D77" s="32" t="n">
        <v>0</v>
      </c>
      <c r="E77" s="32" t="n">
        <v>0</v>
      </c>
      <c r="F77" s="32" t="n">
        <v>1</v>
      </c>
      <c r="G77" s="32" t="n">
        <v>1</v>
      </c>
      <c r="H77" s="32" t="n">
        <v>2</v>
      </c>
      <c r="I77" s="32" t="n">
        <v>2</v>
      </c>
      <c r="J77" s="32" t="n">
        <v>2</v>
      </c>
      <c r="K77" s="33">
        <f>IF(RMODE="تقريب لأعلى",ROUNDUP(P77,0),ROUND(P77,0))</f>
        <v/>
      </c>
      <c r="L77" s="34" t="n"/>
      <c r="M77" s="35">
        <f>L77-K77</f>
        <v/>
      </c>
      <c r="N77" s="36">
        <f>IF(K77=0,"",L77/K77)</f>
        <v/>
      </c>
      <c r="O77" s="37">
        <f>IF(K77=0,"لا ينطبق",IF(L77&gt;=K77,"مكتمل",IF(L77=0,"لا يوجد","عجز")))</f>
        <v/>
      </c>
      <c r="P77" s="38">
        <f>IF(CAP&lt;=$D$4,D77*CAP/$D$4,IF(CAP&gt;=$J$4,J77*CAP/$J$4,INDEX($D77:$J77,$D$3)+$E$3*(INDEX($D77:$J77,$D$3+1)-INDEX($D77:$J77,$D$3))))</f>
        <v/>
      </c>
      <c r="Q77" s="39" t="inlineStr"/>
    </row>
    <row r="78">
      <c r="A78" s="40" t="n"/>
      <c r="B78" s="40" t="n"/>
      <c r="C78" s="40" t="inlineStr">
        <is>
          <t>المجموع (محسوب من الجدول)</t>
        </is>
      </c>
      <c r="D78" s="41">
        <f>SUM(D5:D77)</f>
        <v/>
      </c>
      <c r="E78" s="41">
        <f>SUM(E5:E77)</f>
        <v/>
      </c>
      <c r="F78" s="41">
        <f>SUM(F5:F77)</f>
        <v/>
      </c>
      <c r="G78" s="41">
        <f>SUM(G5:G77)</f>
        <v/>
      </c>
      <c r="H78" s="41">
        <f>SUM(H5:H77)</f>
        <v/>
      </c>
      <c r="I78" s="41">
        <f>SUM(I5:I77)</f>
        <v/>
      </c>
      <c r="J78" s="41">
        <f>SUM(J5:J77)</f>
        <v/>
      </c>
      <c r="K78" s="41">
        <f>SUM(K5:K77)</f>
        <v/>
      </c>
      <c r="L78" s="42">
        <f>SUM(L5:L77)</f>
        <v/>
      </c>
      <c r="M78" s="41">
        <f>SUM(M5:M77)</f>
        <v/>
      </c>
      <c r="N78" s="43">
        <f>IF(K78=0,"",L78/K78)</f>
        <v/>
      </c>
      <c r="O78" s="42" t="n"/>
      <c r="P78" s="42">
        <f>SUM(P5:P77)</f>
        <v/>
      </c>
      <c r="Q78" s="42" t="n"/>
    </row>
    <row r="79">
      <c r="A79" s="44" t="n"/>
      <c r="B79" s="44" t="n"/>
      <c r="C79" s="44" t="inlineStr">
        <is>
          <t>المجموع المنشور في الدليل</t>
        </is>
      </c>
      <c r="D79" s="44" t="n">
        <v>192</v>
      </c>
      <c r="E79" s="44" t="n">
        <v>377</v>
      </c>
      <c r="F79" s="44" t="n">
        <v>574</v>
      </c>
      <c r="G79" s="44" t="n">
        <v>760</v>
      </c>
      <c r="H79" s="44" t="n">
        <v>1125</v>
      </c>
      <c r="I79" s="44" t="n">
        <v>1540</v>
      </c>
      <c r="J79" s="44" t="n">
        <v>1929</v>
      </c>
    </row>
    <row r="80">
      <c r="A80" s="44" t="n"/>
      <c r="B80" s="44" t="n"/>
      <c r="C80" s="44" t="inlineStr">
        <is>
          <t>الفرق (محسوب − منشور)</t>
        </is>
      </c>
      <c r="D80" s="44">
        <f>D78-D79</f>
        <v/>
      </c>
      <c r="E80" s="44">
        <f>E78-E79</f>
        <v/>
      </c>
      <c r="F80" s="44">
        <f>F78-F79</f>
        <v/>
      </c>
      <c r="G80" s="44">
        <f>G78-G79</f>
        <v/>
      </c>
      <c r="H80" s="44">
        <f>H78-H79</f>
        <v/>
      </c>
      <c r="I80" s="44">
        <f>I78-I79</f>
        <v/>
      </c>
      <c r="J80" s="44">
        <f>J78-J79</f>
        <v/>
      </c>
    </row>
  </sheetData>
  <mergeCells count="2">
    <mergeCell ref="A2:Q2"/>
    <mergeCell ref="A1:Q1"/>
  </mergeCells>
  <conditionalFormatting sqref="O5:O77">
    <cfRule type="expression" priority="1" dxfId="0">
      <formula>OR(O5="عجز",O5="لا يوجد")</formula>
    </cfRule>
    <cfRule type="expression" priority="2" dxfId="1">
      <formula>O5="مكتمل"</formula>
    </cfRule>
  </conditionalFormatting>
  <pageMargins left="0.75" right="0.75" top="1" bottom="1" header="0.5" footer="0.5"/>
</worksheet>
</file>

<file path=xl/worksheets/sheet5.xml><?xml version="1.0" encoding="utf-8"?>
<worksheet xmlns="http://schemas.openxmlformats.org/spreadsheetml/2006/main">
  <sheetPr>
    <tabColor rgb="001F6F6B"/>
    <outlinePr summaryBelow="1" summaryRight="1"/>
    <pageSetUpPr/>
  </sheetPr>
  <dimension ref="A1:Q37"/>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2" customWidth="1" min="12" max="12"/>
    <col width="13" customWidth="1" min="13" max="13"/>
    <col width="10" customWidth="1" min="14" max="14"/>
    <col width="11" customWidth="1" min="15" max="15"/>
    <col width="11" customWidth="1" min="16" max="16"/>
    <col width="42" customWidth="1" min="17" max="17"/>
  </cols>
  <sheetData>
    <row r="1" ht="30" customHeight="1">
      <c r="A1" s="1" t="inlineStr">
        <is>
          <t>عام - الفنيون</t>
        </is>
      </c>
    </row>
    <row r="2" ht="20" customHeight="1">
      <c r="A2" s="2" t="inlineStr">
        <is>
          <t>الملحق (1) — الفنيون، ويشمل فني تمريض وفني قبالة (صفحة 28)</t>
        </is>
      </c>
    </row>
    <row r="3">
      <c r="C3" s="25" t="inlineStr">
        <is>
          <t>معاملا الاستيفاء ◄</t>
        </is>
      </c>
      <c r="D3" s="26">
        <f>IFERROR(MATCH(CAP,$D$4:$J$4,1),1)</f>
        <v/>
      </c>
      <c r="E3" s="27">
        <f>IF(OR(CAP&lt;=$D$4,CAP&gt;=$J$4),0,(CAP-INDEX($D$4:$J$4,$D$3))/(INDEX($D$4:$J$4,$D$3+1)-INDEX($D$4:$J$4,$D$3)))</f>
        <v/>
      </c>
    </row>
    <row r="4" ht="42" customHeight="1">
      <c r="A4" s="28" t="inlineStr">
        <is>
          <t>م</t>
        </is>
      </c>
      <c r="B4" s="28" t="inlineStr">
        <is>
          <t>الفئة</t>
        </is>
      </c>
      <c r="C4" s="28" t="inlineStr">
        <is>
          <t>المسمى الوظيفي</t>
        </is>
      </c>
      <c r="D4" s="29" t="n">
        <v>50</v>
      </c>
      <c r="E4" s="29" t="n">
        <v>100</v>
      </c>
      <c r="F4" s="29" t="n">
        <v>150</v>
      </c>
      <c r="G4" s="29" t="n">
        <v>200</v>
      </c>
      <c r="H4" s="29" t="n">
        <v>300</v>
      </c>
      <c r="I4" s="29" t="n">
        <v>400</v>
      </c>
      <c r="J4" s="29" t="n">
        <v>500</v>
      </c>
      <c r="K4" s="28" t="inlineStr">
        <is>
          <t>الاحتياج للسعة المدخلة</t>
        </is>
      </c>
      <c r="L4" s="28" t="inlineStr">
        <is>
          <t>الموجود فعلياً</t>
        </is>
      </c>
      <c r="M4" s="28" t="inlineStr">
        <is>
          <t>الفجوة (+فائض / -عجز)</t>
        </is>
      </c>
      <c r="N4" s="28" t="inlineStr">
        <is>
          <t>نسبة التغطية</t>
        </is>
      </c>
      <c r="O4" s="28" t="inlineStr">
        <is>
          <t>الحالة</t>
        </is>
      </c>
      <c r="P4" s="28" t="inlineStr">
        <is>
          <t>القيمة قبل التقريب</t>
        </is>
      </c>
      <c r="Q4" s="28" t="inlineStr">
        <is>
          <t>ملاحظات</t>
        </is>
      </c>
    </row>
    <row r="5">
      <c r="A5" s="30" t="n">
        <v>1</v>
      </c>
      <c r="B5" s="31" t="inlineStr">
        <is>
          <t>فني</t>
        </is>
      </c>
      <c r="C5" s="5" t="inlineStr">
        <is>
          <t>فني أشعة</t>
        </is>
      </c>
      <c r="D5" s="32" t="n">
        <v>6</v>
      </c>
      <c r="E5" s="32" t="n">
        <v>12</v>
      </c>
      <c r="F5" s="32" t="n">
        <v>11</v>
      </c>
      <c r="G5" s="32" t="n">
        <v>11</v>
      </c>
      <c r="H5" s="32" t="n">
        <v>12</v>
      </c>
      <c r="I5" s="32" t="n">
        <v>15</v>
      </c>
      <c r="J5" s="32" t="n">
        <v>11</v>
      </c>
      <c r="K5" s="33">
        <f>IF(RMODE="تقريب لأعلى",ROUNDUP(P5,0),ROUND(P5,0))</f>
        <v/>
      </c>
      <c r="L5" s="34" t="n"/>
      <c r="M5" s="35">
        <f>L5-K5</f>
        <v/>
      </c>
      <c r="N5" s="36">
        <f>IF(K5=0,"",L5/K5)</f>
        <v/>
      </c>
      <c r="O5" s="37">
        <f>IF(K5=0,"لا ينطبق",IF(L5&gt;=K5,"مكتمل",IF(L5=0,"لا يوجد","عجز")))</f>
        <v/>
      </c>
      <c r="P5" s="38">
        <f>IF(CAP&lt;=$D$4,D5*CAP/$D$4,IF(CAP&gt;=$J$4,J5*CAP/$J$4,INDEX($D5:$J5,$D$3)+$E$3*(INDEX($D5:$J5,$D$3+1)-INDEX($D5:$J5,$D$3))))</f>
        <v/>
      </c>
      <c r="Q5" s="39" t="inlineStr">
        <is>
          <t>إيضاح 33</t>
        </is>
      </c>
    </row>
    <row r="6">
      <c r="A6" s="30" t="n">
        <v>2</v>
      </c>
      <c r="B6" s="31" t="inlineStr">
        <is>
          <t>فني</t>
        </is>
      </c>
      <c r="C6" s="5" t="inlineStr">
        <is>
          <t>فني مختبر وبنك دم</t>
        </is>
      </c>
      <c r="D6" s="32" t="n">
        <v>9</v>
      </c>
      <c r="E6" s="32" t="n">
        <v>12</v>
      </c>
      <c r="F6" s="32" t="n">
        <v>18</v>
      </c>
      <c r="G6" s="32" t="n">
        <v>23</v>
      </c>
      <c r="H6" s="32" t="n">
        <v>27</v>
      </c>
      <c r="I6" s="32" t="n">
        <v>46</v>
      </c>
      <c r="J6" s="32" t="n">
        <v>60</v>
      </c>
      <c r="K6" s="33">
        <f>IF(RMODE="تقريب لأعلى",ROUNDUP(P6,0),ROUND(P6,0))</f>
        <v/>
      </c>
      <c r="L6" s="34" t="n"/>
      <c r="M6" s="35">
        <f>L6-K6</f>
        <v/>
      </c>
      <c r="N6" s="36">
        <f>IF(K6=0,"",L6/K6)</f>
        <v/>
      </c>
      <c r="O6" s="37">
        <f>IF(K6=0,"لا ينطبق",IF(L6&gt;=K6,"مكتمل",IF(L6=0,"لا يوجد","عجز")))</f>
        <v/>
      </c>
      <c r="P6" s="38">
        <f>IF(CAP&lt;=$D$4,D6*CAP/$D$4,IF(CAP&gt;=$J$4,J6*CAP/$J$4,INDEX($D6:$J6,$D$3)+$E$3*(INDEX($D6:$J6,$D$3+1)-INDEX($D6:$J6,$D$3))))</f>
        <v/>
      </c>
      <c r="Q6" s="39" t="inlineStr"/>
    </row>
    <row r="7">
      <c r="A7" s="30" t="n">
        <v>3</v>
      </c>
      <c r="B7" s="31" t="inlineStr">
        <is>
          <t>فني</t>
        </is>
      </c>
      <c r="C7" s="5" t="inlineStr">
        <is>
          <t>فني علاج طبيعي</t>
        </is>
      </c>
      <c r="D7" s="32" t="n">
        <v>2</v>
      </c>
      <c r="E7" s="32" t="n">
        <v>4</v>
      </c>
      <c r="F7" s="32" t="n">
        <v>4</v>
      </c>
      <c r="G7" s="32" t="n">
        <v>6</v>
      </c>
      <c r="H7" s="32" t="n">
        <v>6</v>
      </c>
      <c r="I7" s="32" t="n">
        <v>8</v>
      </c>
      <c r="J7" s="32" t="n">
        <v>8</v>
      </c>
      <c r="K7" s="33">
        <f>IF(RMODE="تقريب لأعلى",ROUNDUP(P7,0),ROUND(P7,0))</f>
        <v/>
      </c>
      <c r="L7" s="34" t="n"/>
      <c r="M7" s="35">
        <f>L7-K7</f>
        <v/>
      </c>
      <c r="N7" s="36">
        <f>IF(K7=0,"",L7/K7)</f>
        <v/>
      </c>
      <c r="O7" s="37">
        <f>IF(K7=0,"لا ينطبق",IF(L7&gt;=K7,"مكتمل",IF(L7=0,"لا يوجد","عجز")))</f>
        <v/>
      </c>
      <c r="P7" s="38">
        <f>IF(CAP&lt;=$D$4,D7*CAP/$D$4,IF(CAP&gt;=$J$4,J7*CAP/$J$4,INDEX($D7:$J7,$D$3)+$E$3*(INDEX($D7:$J7,$D$3+1)-INDEX($D7:$J7,$D$3))))</f>
        <v/>
      </c>
      <c r="Q7" s="39" t="inlineStr"/>
    </row>
    <row r="8">
      <c r="A8" s="30" t="n">
        <v>4</v>
      </c>
      <c r="B8" s="31" t="inlineStr">
        <is>
          <t>فني</t>
        </is>
      </c>
      <c r="C8" s="5" t="inlineStr">
        <is>
          <t>فني علاج وظيفي</t>
        </is>
      </c>
      <c r="D8" s="32" t="n">
        <v>0</v>
      </c>
      <c r="E8" s="32" t="n">
        <v>0</v>
      </c>
      <c r="F8" s="32" t="n">
        <v>0</v>
      </c>
      <c r="G8" s="32" t="n">
        <v>1</v>
      </c>
      <c r="H8" s="32" t="n">
        <v>2</v>
      </c>
      <c r="I8" s="32" t="n">
        <v>3</v>
      </c>
      <c r="J8" s="32" t="n">
        <v>4</v>
      </c>
      <c r="K8" s="33">
        <f>IF(RMODE="تقريب لأعلى",ROUNDUP(P8,0),ROUND(P8,0))</f>
        <v/>
      </c>
      <c r="L8" s="34" t="n"/>
      <c r="M8" s="35">
        <f>L8-K8</f>
        <v/>
      </c>
      <c r="N8" s="36">
        <f>IF(K8=0,"",L8/K8)</f>
        <v/>
      </c>
      <c r="O8" s="37">
        <f>IF(K8=0,"لا ينطبق",IF(L8&gt;=K8,"مكتمل",IF(L8=0,"لا يوجد","عجز")))</f>
        <v/>
      </c>
      <c r="P8" s="38">
        <f>IF(CAP&lt;=$D$4,D8*CAP/$D$4,IF(CAP&gt;=$J$4,J8*CAP/$J$4,INDEX($D8:$J8,$D$3)+$E$3*(INDEX($D8:$J8,$D$3+1)-INDEX($D8:$J8,$D$3))))</f>
        <v/>
      </c>
      <c r="Q8" s="39" t="inlineStr"/>
    </row>
    <row r="9">
      <c r="A9" s="30" t="n">
        <v>5</v>
      </c>
      <c r="B9" s="31" t="inlineStr">
        <is>
          <t>فني</t>
        </is>
      </c>
      <c r="C9" s="5" t="inlineStr">
        <is>
          <t>فني أطراف صناعية</t>
        </is>
      </c>
      <c r="D9" s="32" t="n">
        <v>0</v>
      </c>
      <c r="E9" s="32" t="n">
        <v>0</v>
      </c>
      <c r="F9" s="32" t="n">
        <v>0</v>
      </c>
      <c r="G9" s="32" t="n">
        <v>0</v>
      </c>
      <c r="H9" s="32" t="n">
        <v>1</v>
      </c>
      <c r="I9" s="32" t="n">
        <v>2</v>
      </c>
      <c r="J9" s="32" t="n">
        <v>3</v>
      </c>
      <c r="K9" s="33">
        <f>IF(RMODE="تقريب لأعلى",ROUNDUP(P9,0),ROUND(P9,0))</f>
        <v/>
      </c>
      <c r="L9" s="34" t="n"/>
      <c r="M9" s="35">
        <f>L9-K9</f>
        <v/>
      </c>
      <c r="N9" s="36">
        <f>IF(K9=0,"",L9/K9)</f>
        <v/>
      </c>
      <c r="O9" s="37">
        <f>IF(K9=0,"لا ينطبق",IF(L9&gt;=K9,"مكتمل",IF(L9=0,"لا يوجد","عجز")))</f>
        <v/>
      </c>
      <c r="P9" s="38">
        <f>IF(CAP&lt;=$D$4,D9*CAP/$D$4,IF(CAP&gt;=$J$4,J9*CAP/$J$4,INDEX($D9:$J9,$D$3)+$E$3*(INDEX($D9:$J9,$D$3+1)-INDEX($D9:$J9,$D$3))))</f>
        <v/>
      </c>
      <c r="Q9" s="39" t="inlineStr"/>
    </row>
    <row r="10">
      <c r="A10" s="30" t="n">
        <v>6</v>
      </c>
      <c r="B10" s="31" t="inlineStr">
        <is>
          <t>فني</t>
        </is>
      </c>
      <c r="C10" s="5" t="inlineStr">
        <is>
          <t>فني معالجة نطق (تخاطب)</t>
        </is>
      </c>
      <c r="D10" s="32" t="n">
        <v>0</v>
      </c>
      <c r="E10" s="32" t="n">
        <v>0</v>
      </c>
      <c r="F10" s="32" t="n">
        <v>0</v>
      </c>
      <c r="G10" s="32" t="n">
        <v>0</v>
      </c>
      <c r="H10" s="32" t="n">
        <v>2</v>
      </c>
      <c r="I10" s="32" t="n">
        <v>3</v>
      </c>
      <c r="J10" s="32" t="n">
        <v>4</v>
      </c>
      <c r="K10" s="33">
        <f>IF(RMODE="تقريب لأعلى",ROUNDUP(P10,0),ROUND(P10,0))</f>
        <v/>
      </c>
      <c r="L10" s="34" t="n"/>
      <c r="M10" s="35">
        <f>L10-K10</f>
        <v/>
      </c>
      <c r="N10" s="36">
        <f>IF(K10=0,"",L10/K10)</f>
        <v/>
      </c>
      <c r="O10" s="37">
        <f>IF(K10=0,"لا ينطبق",IF(L10&gt;=K10,"مكتمل",IF(L10=0,"لا يوجد","عجز")))</f>
        <v/>
      </c>
      <c r="P10" s="38">
        <f>IF(CAP&lt;=$D$4,D10*CAP/$D$4,IF(CAP&gt;=$J$4,J10*CAP/$J$4,INDEX($D10:$J10,$D$3)+$E$3*(INDEX($D10:$J10,$D$3+1)-INDEX($D10:$J10,$D$3))))</f>
        <v/>
      </c>
      <c r="Q10" s="39" t="inlineStr"/>
    </row>
    <row r="11">
      <c r="A11" s="30" t="n">
        <v>7</v>
      </c>
      <c r="B11" s="31" t="inlineStr">
        <is>
          <t>فني</t>
        </is>
      </c>
      <c r="C11" s="5" t="inlineStr">
        <is>
          <t>فني معالجة سمع (سمعيات)</t>
        </is>
      </c>
      <c r="D11" s="32" t="n">
        <v>0</v>
      </c>
      <c r="E11" s="32" t="n">
        <v>0</v>
      </c>
      <c r="F11" s="32" t="n">
        <v>0</v>
      </c>
      <c r="G11" s="32" t="n">
        <v>0</v>
      </c>
      <c r="H11" s="32" t="n">
        <v>2</v>
      </c>
      <c r="I11" s="32" t="n">
        <v>3</v>
      </c>
      <c r="J11" s="32" t="n">
        <v>4</v>
      </c>
      <c r="K11" s="33">
        <f>IF(RMODE="تقريب لأعلى",ROUNDUP(P11,0),ROUND(P11,0))</f>
        <v/>
      </c>
      <c r="L11" s="34" t="n"/>
      <c r="M11" s="35">
        <f>L11-K11</f>
        <v/>
      </c>
      <c r="N11" s="36">
        <f>IF(K11=0,"",L11/K11)</f>
        <v/>
      </c>
      <c r="O11" s="37">
        <f>IF(K11=0,"لا ينطبق",IF(L11&gt;=K11,"مكتمل",IF(L11=0,"لا يوجد","عجز")))</f>
        <v/>
      </c>
      <c r="P11" s="38">
        <f>IF(CAP&lt;=$D$4,D11*CAP/$D$4,IF(CAP&gt;=$J$4,J11*CAP/$J$4,INDEX($D11:$J11,$D$3)+$E$3*(INDEX($D11:$J11,$D$3+1)-INDEX($D11:$J11,$D$3))))</f>
        <v/>
      </c>
      <c r="Q11" s="39" t="inlineStr"/>
    </row>
    <row r="12">
      <c r="A12" s="30" t="n">
        <v>8</v>
      </c>
      <c r="B12" s="31" t="inlineStr">
        <is>
          <t>فني</t>
        </is>
      </c>
      <c r="C12" s="5" t="inlineStr">
        <is>
          <t>فني تنظير باطني</t>
        </is>
      </c>
      <c r="D12" s="32" t="n">
        <v>0</v>
      </c>
      <c r="E12" s="32" t="n">
        <v>0</v>
      </c>
      <c r="F12" s="32" t="n">
        <v>3</v>
      </c>
      <c r="G12" s="32" t="n">
        <v>4</v>
      </c>
      <c r="H12" s="32" t="n">
        <v>5</v>
      </c>
      <c r="I12" s="32" t="n">
        <v>6</v>
      </c>
      <c r="J12" s="32" t="n">
        <v>8</v>
      </c>
      <c r="K12" s="33">
        <f>IF(RMODE="تقريب لأعلى",ROUNDUP(P12,0),ROUND(P12,0))</f>
        <v/>
      </c>
      <c r="L12" s="34" t="n"/>
      <c r="M12" s="35">
        <f>L12-K12</f>
        <v/>
      </c>
      <c r="N12" s="36">
        <f>IF(K12=0,"",L12/K12)</f>
        <v/>
      </c>
      <c r="O12" s="37">
        <f>IF(K12=0,"لا ينطبق",IF(L12&gt;=K12,"مكتمل",IF(L12=0,"لا يوجد","عجز")))</f>
        <v/>
      </c>
      <c r="P12" s="38">
        <f>IF(CAP&lt;=$D$4,D12*CAP/$D$4,IF(CAP&gt;=$J$4,J12*CAP/$J$4,INDEX($D12:$J12,$D$3)+$E$3*(INDEX($D12:$J12,$D$3+1)-INDEX($D12:$J12,$D$3))))</f>
        <v/>
      </c>
      <c r="Q12" s="39" t="inlineStr"/>
    </row>
    <row r="13">
      <c r="A13" s="30" t="n">
        <v>9</v>
      </c>
      <c r="B13" s="31" t="inlineStr">
        <is>
          <t>تمريض</t>
        </is>
      </c>
      <c r="C13" s="5" t="inlineStr">
        <is>
          <t>فني تمريض 30%</t>
        </is>
      </c>
      <c r="D13" s="32" t="n">
        <v>42</v>
      </c>
      <c r="E13" s="32" t="n">
        <v>87</v>
      </c>
      <c r="F13" s="32" t="n">
        <v>135</v>
      </c>
      <c r="G13" s="32" t="n">
        <v>186</v>
      </c>
      <c r="H13" s="32" t="n">
        <v>288</v>
      </c>
      <c r="I13" s="32" t="n">
        <v>396</v>
      </c>
      <c r="J13" s="32" t="n">
        <v>504</v>
      </c>
      <c r="K13" s="33">
        <f>IF(RMODE="تقريب لأعلى",ROUNDUP(P13,0),ROUND(P13,0))</f>
        <v/>
      </c>
      <c r="L13" s="34" t="n"/>
      <c r="M13" s="35">
        <f>L13-K13</f>
        <v/>
      </c>
      <c r="N13" s="36">
        <f>IF(K13=0,"",L13/K13)</f>
        <v/>
      </c>
      <c r="O13" s="37">
        <f>IF(K13=0,"لا ينطبق",IF(L13&gt;=K13,"مكتمل",IF(L13=0,"لا يوجد","عجز")))</f>
        <v/>
      </c>
      <c r="P13" s="38">
        <f>IF(CAP&lt;=$D$4,D13*CAP/$D$4,IF(CAP&gt;=$J$4,J13*CAP/$J$4,INDEX($D13:$J13,$D$3)+$E$3*(INDEX($D13:$J13,$D$3+1)-INDEX($D13:$J13,$D$3))))</f>
        <v/>
      </c>
      <c r="Q13" s="39" t="inlineStr">
        <is>
          <t>إيضاح 11: تشغل وظائف فني بنسبة 30% حتى تقاعد الكادر الحالي ثم تحدث النسبة تدريجياً</t>
        </is>
      </c>
    </row>
    <row r="14">
      <c r="A14" s="30" t="n">
        <v>10</v>
      </c>
      <c r="B14" s="31" t="inlineStr">
        <is>
          <t>قبالة</t>
        </is>
      </c>
      <c r="C14" s="5" t="inlineStr">
        <is>
          <t>فني قبالة 30%</t>
        </is>
      </c>
      <c r="D14" s="32" t="n">
        <v>1</v>
      </c>
      <c r="E14" s="32" t="n">
        <v>2</v>
      </c>
      <c r="F14" s="32" t="n">
        <v>3</v>
      </c>
      <c r="G14" s="32" t="n">
        <v>4</v>
      </c>
      <c r="H14" s="32" t="n">
        <v>6</v>
      </c>
      <c r="I14" s="32" t="n">
        <v>10</v>
      </c>
      <c r="J14" s="32" t="n">
        <v>12</v>
      </c>
      <c r="K14" s="33">
        <f>IF(RMODE="تقريب لأعلى",ROUNDUP(P14,0),ROUND(P14,0))</f>
        <v/>
      </c>
      <c r="L14" s="34" t="n"/>
      <c r="M14" s="35">
        <f>L14-K14</f>
        <v/>
      </c>
      <c r="N14" s="36">
        <f>IF(K14=0,"",L14/K14)</f>
        <v/>
      </c>
      <c r="O14" s="37">
        <f>IF(K14=0,"لا ينطبق",IF(L14&gt;=K14,"مكتمل",IF(L14=0,"لا يوجد","عجز")))</f>
        <v/>
      </c>
      <c r="P14" s="38">
        <f>IF(CAP&lt;=$D$4,D14*CAP/$D$4,IF(CAP&gt;=$J$4,J14*CAP/$J$4,INDEX($D14:$J14,$D$3)+$E$3*(INDEX($D14:$J14,$D$3+1)-INDEX($D14:$J14,$D$3))))</f>
        <v/>
      </c>
      <c r="Q14" s="39" t="inlineStr">
        <is>
          <t>إيضاح 11</t>
        </is>
      </c>
    </row>
    <row r="15">
      <c r="A15" s="30" t="n">
        <v>11</v>
      </c>
      <c r="B15" s="31" t="inlineStr">
        <is>
          <t>فني</t>
        </is>
      </c>
      <c r="C15" s="5" t="inlineStr">
        <is>
          <t>فني تخدير</t>
        </is>
      </c>
      <c r="D15" s="32" t="n">
        <v>4</v>
      </c>
      <c r="E15" s="32" t="n">
        <v>6</v>
      </c>
      <c r="F15" s="32" t="n">
        <v>10</v>
      </c>
      <c r="G15" s="32" t="n">
        <v>12</v>
      </c>
      <c r="H15" s="32" t="n">
        <v>15</v>
      </c>
      <c r="I15" s="32" t="n">
        <v>20</v>
      </c>
      <c r="J15" s="32" t="n">
        <v>25</v>
      </c>
      <c r="K15" s="33">
        <f>IF(RMODE="تقريب لأعلى",ROUNDUP(P15,0),ROUND(P15,0))</f>
        <v/>
      </c>
      <c r="L15" s="34" t="n"/>
      <c r="M15" s="35">
        <f>L15-K15</f>
        <v/>
      </c>
      <c r="N15" s="36">
        <f>IF(K15=0,"",L15/K15)</f>
        <v/>
      </c>
      <c r="O15" s="37">
        <f>IF(K15=0,"لا ينطبق",IF(L15&gt;=K15,"مكتمل",IF(L15=0,"لا يوجد","عجز")))</f>
        <v/>
      </c>
      <c r="P15" s="38">
        <f>IF(CAP&lt;=$D$4,D15*CAP/$D$4,IF(CAP&gt;=$J$4,J15*CAP/$J$4,INDEX($D15:$J15,$D$3)+$E$3*(INDEX($D15:$J15,$D$3+1)-INDEX($D15:$J15,$D$3))))</f>
        <v/>
      </c>
      <c r="Q15" s="39" t="inlineStr"/>
    </row>
    <row r="16">
      <c r="A16" s="30" t="n">
        <v>12</v>
      </c>
      <c r="B16" s="31" t="inlineStr">
        <is>
          <t>فني</t>
        </is>
      </c>
      <c r="C16" s="5" t="inlineStr">
        <is>
          <t>فني عمليات</t>
        </is>
      </c>
      <c r="D16" s="32" t="n">
        <v>6</v>
      </c>
      <c r="E16" s="32" t="n">
        <v>10</v>
      </c>
      <c r="F16" s="32" t="n">
        <v>10</v>
      </c>
      <c r="G16" s="32" t="n">
        <v>15</v>
      </c>
      <c r="H16" s="32" t="n">
        <v>20</v>
      </c>
      <c r="I16" s="32" t="n">
        <v>25</v>
      </c>
      <c r="J16" s="32" t="n">
        <v>30</v>
      </c>
      <c r="K16" s="33">
        <f>IF(RMODE="تقريب لأعلى",ROUNDUP(P16,0),ROUND(P16,0))</f>
        <v/>
      </c>
      <c r="L16" s="34" t="n"/>
      <c r="M16" s="35">
        <f>L16-K16</f>
        <v/>
      </c>
      <c r="N16" s="36">
        <f>IF(K16=0,"",L16/K16)</f>
        <v/>
      </c>
      <c r="O16" s="37">
        <f>IF(K16=0,"لا ينطبق",IF(L16&gt;=K16,"مكتمل",IF(L16=0,"لا يوجد","عجز")))</f>
        <v/>
      </c>
      <c r="P16" s="38">
        <f>IF(CAP&lt;=$D$4,D16*CAP/$D$4,IF(CAP&gt;=$J$4,J16*CAP/$J$4,INDEX($D16:$J16,$D$3)+$E$3*(INDEX($D16:$J16,$D$3+1)-INDEX($D16:$J16,$D$3))))</f>
        <v/>
      </c>
      <c r="Q16" s="39" t="inlineStr"/>
    </row>
    <row r="17">
      <c r="A17" s="30" t="n">
        <v>13</v>
      </c>
      <c r="B17" s="31" t="inlineStr">
        <is>
          <t>فني</t>
        </is>
      </c>
      <c r="C17" s="5" t="inlineStr">
        <is>
          <t>فني علاج تنفسي</t>
        </is>
      </c>
      <c r="D17" s="32" t="n">
        <v>2</v>
      </c>
      <c r="E17" s="32" t="n">
        <v>4</v>
      </c>
      <c r="F17" s="32" t="n">
        <v>6</v>
      </c>
      <c r="G17" s="32" t="n">
        <v>8</v>
      </c>
      <c r="H17" s="32" t="n">
        <v>10</v>
      </c>
      <c r="I17" s="32" t="n">
        <v>12</v>
      </c>
      <c r="J17" s="32" t="n">
        <v>18</v>
      </c>
      <c r="K17" s="33">
        <f>IF(RMODE="تقريب لأعلى",ROUNDUP(P17,0),ROUND(P17,0))</f>
        <v/>
      </c>
      <c r="L17" s="34" t="n"/>
      <c r="M17" s="35">
        <f>L17-K17</f>
        <v/>
      </c>
      <c r="N17" s="36">
        <f>IF(K17=0,"",L17/K17)</f>
        <v/>
      </c>
      <c r="O17" s="37">
        <f>IF(K17=0,"لا ينطبق",IF(L17&gt;=K17,"مكتمل",IF(L17=0,"لا يوجد","عجز")))</f>
        <v/>
      </c>
      <c r="P17" s="38">
        <f>IF(CAP&lt;=$D$4,D17*CAP/$D$4,IF(CAP&gt;=$J$4,J17*CAP/$J$4,INDEX($D17:$J17,$D$3)+$E$3*(INDEX($D17:$J17,$D$3+1)-INDEX($D17:$J17,$D$3))))</f>
        <v/>
      </c>
      <c r="Q17" s="39" t="inlineStr">
        <is>
          <t>إيضاح 22: 20% فني من إجمالي العلاج التنفسي</t>
        </is>
      </c>
    </row>
    <row r="18">
      <c r="A18" s="30" t="n">
        <v>14</v>
      </c>
      <c r="B18" s="31" t="inlineStr">
        <is>
          <t>فني</t>
        </is>
      </c>
      <c r="C18" s="5" t="inlineStr">
        <is>
          <t>فني جبائر</t>
        </is>
      </c>
      <c r="D18" s="32" t="n">
        <v>2</v>
      </c>
      <c r="E18" s="32" t="n">
        <v>2</v>
      </c>
      <c r="F18" s="32" t="n">
        <v>2</v>
      </c>
      <c r="G18" s="32" t="n">
        <v>2</v>
      </c>
      <c r="H18" s="32" t="n">
        <v>4</v>
      </c>
      <c r="I18" s="32" t="n">
        <v>4</v>
      </c>
      <c r="J18" s="32" t="n">
        <v>4</v>
      </c>
      <c r="K18" s="33">
        <f>IF(RMODE="تقريب لأعلى",ROUNDUP(P18,0),ROUND(P18,0))</f>
        <v/>
      </c>
      <c r="L18" s="34" t="n"/>
      <c r="M18" s="35">
        <f>L18-K18</f>
        <v/>
      </c>
      <c r="N18" s="36">
        <f>IF(K18=0,"",L18/K18)</f>
        <v/>
      </c>
      <c r="O18" s="37">
        <f>IF(K18=0,"لا ينطبق",IF(L18&gt;=K18,"مكتمل",IF(L18=0,"لا يوجد","عجز")))</f>
        <v/>
      </c>
      <c r="P18" s="38">
        <f>IF(CAP&lt;=$D$4,D18*CAP/$D$4,IF(CAP&gt;=$J$4,J18*CAP/$J$4,INDEX($D18:$J18,$D$3)+$E$3*(INDEX($D18:$J18,$D$3+1)-INDEX($D18:$J18,$D$3))))</f>
        <v/>
      </c>
      <c r="Q18" s="39" t="inlineStr"/>
    </row>
    <row r="19">
      <c r="A19" s="30" t="n">
        <v>15</v>
      </c>
      <c r="B19" s="31" t="inlineStr">
        <is>
          <t>فني</t>
        </is>
      </c>
      <c r="C19" s="5" t="inlineStr">
        <is>
          <t>فني تعقيم</t>
        </is>
      </c>
      <c r="D19" s="32" t="n">
        <v>2</v>
      </c>
      <c r="E19" s="32" t="n">
        <v>4</v>
      </c>
      <c r="F19" s="32" t="n">
        <v>6</v>
      </c>
      <c r="G19" s="32" t="n">
        <v>8</v>
      </c>
      <c r="H19" s="32" t="n">
        <v>10</v>
      </c>
      <c r="I19" s="32" t="n">
        <v>12</v>
      </c>
      <c r="J19" s="32" t="n">
        <v>15</v>
      </c>
      <c r="K19" s="33">
        <f>IF(RMODE="تقريب لأعلى",ROUNDUP(P19,0),ROUND(P19,0))</f>
        <v/>
      </c>
      <c r="L19" s="34" t="n"/>
      <c r="M19" s="35">
        <f>L19-K19</f>
        <v/>
      </c>
      <c r="N19" s="36">
        <f>IF(K19=0,"",L19/K19)</f>
        <v/>
      </c>
      <c r="O19" s="37">
        <f>IF(K19=0,"لا ينطبق",IF(L19&gt;=K19,"مكتمل",IF(L19=0,"لا يوجد","عجز")))</f>
        <v/>
      </c>
      <c r="P19" s="38">
        <f>IF(CAP&lt;=$D$4,D19*CAP/$D$4,IF(CAP&gt;=$J$4,J19*CAP/$J$4,INDEX($D19:$J19,$D$3)+$E$3*(INDEX($D19:$J19,$D$3+1)-INDEX($D19:$J19,$D$3))))</f>
        <v/>
      </c>
      <c r="Q19" s="39" t="inlineStr"/>
    </row>
    <row r="20">
      <c r="A20" s="30" t="n">
        <v>16</v>
      </c>
      <c r="B20" s="31" t="inlineStr">
        <is>
          <t>فني</t>
        </is>
      </c>
      <c r="C20" s="5" t="inlineStr">
        <is>
          <t>فني إسعاف وطوارئ</t>
        </is>
      </c>
      <c r="D20" s="32" t="n">
        <v>4</v>
      </c>
      <c r="E20" s="32" t="n">
        <v>8</v>
      </c>
      <c r="F20" s="32" t="n">
        <v>12</v>
      </c>
      <c r="G20" s="32" t="n">
        <v>15</v>
      </c>
      <c r="H20" s="32" t="n">
        <v>20</v>
      </c>
      <c r="I20" s="32" t="n">
        <v>25</v>
      </c>
      <c r="J20" s="32" t="n">
        <v>30</v>
      </c>
      <c r="K20" s="33">
        <f>IF(RMODE="تقريب لأعلى",ROUNDUP(P20,0),ROUND(P20,0))</f>
        <v/>
      </c>
      <c r="L20" s="34" t="n"/>
      <c r="M20" s="35">
        <f>L20-K20</f>
        <v/>
      </c>
      <c r="N20" s="36">
        <f>IF(K20=0,"",L20/K20)</f>
        <v/>
      </c>
      <c r="O20" s="37">
        <f>IF(K20=0,"لا ينطبق",IF(L20&gt;=K20,"مكتمل",IF(L20=0,"لا يوجد","عجز")))</f>
        <v/>
      </c>
      <c r="P20" s="38">
        <f>IF(CAP&lt;=$D$4,D20*CAP/$D$4,IF(CAP&gt;=$J$4,J20*CAP/$J$4,INDEX($D20:$J20,$D$3)+$E$3*(INDEX($D20:$J20,$D$3+1)-INDEX($D20:$J20,$D$3))))</f>
        <v/>
      </c>
      <c r="Q20" s="39" t="inlineStr"/>
    </row>
    <row r="21">
      <c r="A21" s="30" t="n">
        <v>17</v>
      </c>
      <c r="B21" s="31" t="inlineStr">
        <is>
          <t>فني</t>
        </is>
      </c>
      <c r="C21" s="5" t="inlineStr">
        <is>
          <t>فني تقنية قلب</t>
        </is>
      </c>
      <c r="D21" s="32" t="n">
        <v>0</v>
      </c>
      <c r="E21" s="32" t="n">
        <v>1</v>
      </c>
      <c r="F21" s="32" t="n">
        <v>1</v>
      </c>
      <c r="G21" s="32" t="n">
        <v>2</v>
      </c>
      <c r="H21" s="32" t="n">
        <v>2</v>
      </c>
      <c r="I21" s="32" t="n">
        <v>3</v>
      </c>
      <c r="J21" s="32" t="n">
        <v>3</v>
      </c>
      <c r="K21" s="33">
        <f>IF(RMODE="تقريب لأعلى",ROUNDUP(P21,0),ROUND(P21,0))</f>
        <v/>
      </c>
      <c r="L21" s="34" t="n"/>
      <c r="M21" s="35">
        <f>L21-K21</f>
        <v/>
      </c>
      <c r="N21" s="36">
        <f>IF(K21=0,"",L21/K21)</f>
        <v/>
      </c>
      <c r="O21" s="37">
        <f>IF(K21=0,"لا ينطبق",IF(L21&gt;=K21,"مكتمل",IF(L21=0,"لا يوجد","عجز")))</f>
        <v/>
      </c>
      <c r="P21" s="38">
        <f>IF(CAP&lt;=$D$4,D21*CAP/$D$4,IF(CAP&gt;=$J$4,J21*CAP/$J$4,INDEX($D21:$J21,$D$3)+$E$3*(INDEX($D21:$J21,$D$3+1)-INDEX($D21:$J21,$D$3))))</f>
        <v/>
      </c>
      <c r="Q21" s="39" t="inlineStr"/>
    </row>
    <row r="22">
      <c r="A22" s="30" t="n">
        <v>18</v>
      </c>
      <c r="B22" s="31" t="inlineStr">
        <is>
          <t>فني</t>
        </is>
      </c>
      <c r="C22" s="5" t="inlineStr">
        <is>
          <t>فني تخطيط المخ والأعصاب</t>
        </is>
      </c>
      <c r="D22" s="32" t="n">
        <v>0</v>
      </c>
      <c r="E22" s="32" t="n">
        <v>0</v>
      </c>
      <c r="F22" s="32" t="n">
        <v>2</v>
      </c>
      <c r="G22" s="32" t="n">
        <v>2</v>
      </c>
      <c r="H22" s="32" t="n">
        <v>3</v>
      </c>
      <c r="I22" s="32" t="n">
        <v>4</v>
      </c>
      <c r="J22" s="32" t="n">
        <v>4</v>
      </c>
      <c r="K22" s="33">
        <f>IF(RMODE="تقريب لأعلى",ROUNDUP(P22,0),ROUND(P22,0))</f>
        <v/>
      </c>
      <c r="L22" s="34" t="n"/>
      <c r="M22" s="35">
        <f>L22-K22</f>
        <v/>
      </c>
      <c r="N22" s="36">
        <f>IF(K22=0,"",L22/K22)</f>
        <v/>
      </c>
      <c r="O22" s="37">
        <f>IF(K22=0,"لا ينطبق",IF(L22&gt;=K22,"مكتمل",IF(L22=0,"لا يوجد","عجز")))</f>
        <v/>
      </c>
      <c r="P22" s="38">
        <f>IF(CAP&lt;=$D$4,D22*CAP/$D$4,IF(CAP&gt;=$J$4,J22*CAP/$J$4,INDEX($D22:$J22,$D$3)+$E$3*(INDEX($D22:$J22,$D$3+1)-INDEX($D22:$J22,$D$3))))</f>
        <v/>
      </c>
      <c r="Q22" s="39" t="inlineStr"/>
    </row>
    <row r="23">
      <c r="A23" s="30" t="n">
        <v>19</v>
      </c>
      <c r="B23" s="31" t="inlineStr">
        <is>
          <t>فني</t>
        </is>
      </c>
      <c r="C23" s="5" t="inlineStr">
        <is>
          <t>فني بصريات</t>
        </is>
      </c>
      <c r="D23" s="32" t="n">
        <v>1</v>
      </c>
      <c r="E23" s="32" t="n">
        <v>1</v>
      </c>
      <c r="F23" s="32" t="n">
        <v>2</v>
      </c>
      <c r="G23" s="32" t="n">
        <v>3</v>
      </c>
      <c r="H23" s="32" t="n">
        <v>4</v>
      </c>
      <c r="I23" s="32" t="n">
        <v>7</v>
      </c>
      <c r="J23" s="32" t="n">
        <v>9</v>
      </c>
      <c r="K23" s="33">
        <f>IF(RMODE="تقريب لأعلى",ROUNDUP(P23,0),ROUND(P23,0))</f>
        <v/>
      </c>
      <c r="L23" s="34" t="n"/>
      <c r="M23" s="35">
        <f>L23-K23</f>
        <v/>
      </c>
      <c r="N23" s="36">
        <f>IF(K23=0,"",L23/K23)</f>
        <v/>
      </c>
      <c r="O23" s="37">
        <f>IF(K23=0,"لا ينطبق",IF(L23&gt;=K23,"مكتمل",IF(L23=0,"لا يوجد","عجز")))</f>
        <v/>
      </c>
      <c r="P23" s="38">
        <f>IF(CAP&lt;=$D$4,D23*CAP/$D$4,IF(CAP&gt;=$J$4,J23*CAP/$J$4,INDEX($D23:$J23,$D$3)+$E$3*(INDEX($D23:$J23,$D$3+1)-INDEX($D23:$J23,$D$3))))</f>
        <v/>
      </c>
      <c r="Q23" s="39" t="inlineStr"/>
    </row>
    <row r="24">
      <c r="A24" s="30" t="n">
        <v>20</v>
      </c>
      <c r="B24" s="31" t="inlineStr">
        <is>
          <t>فني</t>
        </is>
      </c>
      <c r="C24" s="5" t="inlineStr">
        <is>
          <t>فني أجهزة طبية</t>
        </is>
      </c>
      <c r="D24" s="32" t="n">
        <v>2</v>
      </c>
      <c r="E24" s="32" t="n">
        <v>2</v>
      </c>
      <c r="F24" s="32" t="n">
        <v>3</v>
      </c>
      <c r="G24" s="32" t="n">
        <v>3</v>
      </c>
      <c r="H24" s="32" t="n">
        <v>3</v>
      </c>
      <c r="I24" s="32" t="n">
        <v>5</v>
      </c>
      <c r="J24" s="32" t="n">
        <v>6</v>
      </c>
      <c r="K24" s="33">
        <f>IF(RMODE="تقريب لأعلى",ROUNDUP(P24,0),ROUND(P24,0))</f>
        <v/>
      </c>
      <c r="L24" s="34" t="n"/>
      <c r="M24" s="35">
        <f>L24-K24</f>
        <v/>
      </c>
      <c r="N24" s="36">
        <f>IF(K24=0,"",L24/K24)</f>
        <v/>
      </c>
      <c r="O24" s="37">
        <f>IF(K24=0,"لا ينطبق",IF(L24&gt;=K24,"مكتمل",IF(L24=0,"لا يوجد","عجز")))</f>
        <v/>
      </c>
      <c r="P24" s="38">
        <f>IF(CAP&lt;=$D$4,D24*CAP/$D$4,IF(CAP&gt;=$J$4,J24*CAP/$J$4,INDEX($D24:$J24,$D$3)+$E$3*(INDEX($D24:$J24,$D$3+1)-INDEX($D24:$J24,$D$3))))</f>
        <v/>
      </c>
      <c r="Q24" s="39" t="inlineStr"/>
    </row>
    <row r="25">
      <c r="A25" s="30" t="n">
        <v>21</v>
      </c>
      <c r="B25" s="31" t="inlineStr">
        <is>
          <t>فني</t>
        </is>
      </c>
      <c r="C25" s="5" t="inlineStr">
        <is>
          <t>فني أجهزة الليزر</t>
        </is>
      </c>
      <c r="D25" s="32" t="n">
        <v>0</v>
      </c>
      <c r="E25" s="32" t="n">
        <v>1</v>
      </c>
      <c r="F25" s="32" t="n">
        <v>1</v>
      </c>
      <c r="G25" s="32" t="n">
        <v>1</v>
      </c>
      <c r="H25" s="32" t="n">
        <v>2</v>
      </c>
      <c r="I25" s="32" t="n">
        <v>2</v>
      </c>
      <c r="J25" s="32" t="n">
        <v>2</v>
      </c>
      <c r="K25" s="33">
        <f>IF(RMODE="تقريب لأعلى",ROUNDUP(P25,0),ROUND(P25,0))</f>
        <v/>
      </c>
      <c r="L25" s="34" t="n"/>
      <c r="M25" s="35">
        <f>L25-K25</f>
        <v/>
      </c>
      <c r="N25" s="36">
        <f>IF(K25=0,"",L25/K25)</f>
        <v/>
      </c>
      <c r="O25" s="37">
        <f>IF(K25=0,"لا ينطبق",IF(L25&gt;=K25,"مكتمل",IF(L25=0,"لا يوجد","عجز")))</f>
        <v/>
      </c>
      <c r="P25" s="38">
        <f>IF(CAP&lt;=$D$4,D25*CAP/$D$4,IF(CAP&gt;=$J$4,J25*CAP/$J$4,INDEX($D25:$J25,$D$3)+$E$3*(INDEX($D25:$J25,$D$3+1)-INDEX($D25:$J25,$D$3))))</f>
        <v/>
      </c>
      <c r="Q25" s="39" t="inlineStr"/>
    </row>
    <row r="26">
      <c r="A26" s="30" t="n">
        <v>22</v>
      </c>
      <c r="B26" s="31" t="inlineStr">
        <is>
          <t>فني</t>
        </is>
      </c>
      <c r="C26" s="5" t="inlineStr">
        <is>
          <t>سكرتير طبي</t>
        </is>
      </c>
      <c r="D26" s="32" t="n">
        <v>5</v>
      </c>
      <c r="E26" s="32" t="n">
        <v>15</v>
      </c>
      <c r="F26" s="32" t="n">
        <v>20</v>
      </c>
      <c r="G26" s="32" t="n">
        <v>25</v>
      </c>
      <c r="H26" s="32" t="n">
        <v>25</v>
      </c>
      <c r="I26" s="32" t="n">
        <v>30</v>
      </c>
      <c r="J26" s="32" t="n">
        <v>30</v>
      </c>
      <c r="K26" s="33">
        <f>IF(RMODE="تقريب لأعلى",ROUNDUP(P26,0),ROUND(P26,0))</f>
        <v/>
      </c>
      <c r="L26" s="34" t="n"/>
      <c r="M26" s="35">
        <f>L26-K26</f>
        <v/>
      </c>
      <c r="N26" s="36">
        <f>IF(K26=0,"",L26/K26)</f>
        <v/>
      </c>
      <c r="O26" s="37">
        <f>IF(K26=0,"لا ينطبق",IF(L26&gt;=K26,"مكتمل",IF(L26=0,"لا يوجد","عجز")))</f>
        <v/>
      </c>
      <c r="P26" s="38">
        <f>IF(CAP&lt;=$D$4,D26*CAP/$D$4,IF(CAP&gt;=$J$4,J26*CAP/$J$4,INDEX($D26:$J26,$D$3)+$E$3*(INDEX($D26:$J26,$D$3+1)-INDEX($D26:$J26,$D$3))))</f>
        <v/>
      </c>
      <c r="Q26" s="39" t="inlineStr"/>
    </row>
    <row r="27">
      <c r="A27" s="30" t="n">
        <v>23</v>
      </c>
      <c r="B27" s="31" t="inlineStr">
        <is>
          <t>فني</t>
        </is>
      </c>
      <c r="C27" s="5" t="inlineStr">
        <is>
          <t>فني معلوماتية صحية</t>
        </is>
      </c>
      <c r="D27" s="32" t="n">
        <v>4</v>
      </c>
      <c r="E27" s="32" t="n">
        <v>8</v>
      </c>
      <c r="F27" s="32" t="n">
        <v>12</v>
      </c>
      <c r="G27" s="32" t="n">
        <v>12</v>
      </c>
      <c r="H27" s="32" t="n">
        <v>15</v>
      </c>
      <c r="I27" s="32" t="n">
        <v>20</v>
      </c>
      <c r="J27" s="32" t="n">
        <v>25</v>
      </c>
      <c r="K27" s="33">
        <f>IF(RMODE="تقريب لأعلى",ROUNDUP(P27,0),ROUND(P27,0))</f>
        <v/>
      </c>
      <c r="L27" s="34" t="n"/>
      <c r="M27" s="35">
        <f>L27-K27</f>
        <v/>
      </c>
      <c r="N27" s="36">
        <f>IF(K27=0,"",L27/K27)</f>
        <v/>
      </c>
      <c r="O27" s="37">
        <f>IF(K27=0,"لا ينطبق",IF(L27&gt;=K27,"مكتمل",IF(L27=0,"لا يوجد","عجز")))</f>
        <v/>
      </c>
      <c r="P27" s="38">
        <f>IF(CAP&lt;=$D$4,D27*CAP/$D$4,IF(CAP&gt;=$J$4,J27*CAP/$J$4,INDEX($D27:$J27,$D$3)+$E$3*(INDEX($D27:$J27,$D$3+1)-INDEX($D27:$J27,$D$3))))</f>
        <v/>
      </c>
      <c r="Q27" s="39" t="inlineStr"/>
    </row>
    <row r="28">
      <c r="A28" s="30" t="n">
        <v>24</v>
      </c>
      <c r="B28" s="31" t="inlineStr">
        <is>
          <t>فني</t>
        </is>
      </c>
      <c r="C28" s="5" t="inlineStr">
        <is>
          <t>فني مراقب وبائيات</t>
        </is>
      </c>
      <c r="D28" s="32" t="n">
        <v>1</v>
      </c>
      <c r="E28" s="32" t="n">
        <v>1</v>
      </c>
      <c r="F28" s="32" t="n">
        <v>1</v>
      </c>
      <c r="G28" s="32" t="n">
        <v>1</v>
      </c>
      <c r="H28" s="32" t="n">
        <v>2</v>
      </c>
      <c r="I28" s="32" t="n">
        <v>2</v>
      </c>
      <c r="J28" s="32" t="n">
        <v>3</v>
      </c>
      <c r="K28" s="33">
        <f>IF(RMODE="تقريب لأعلى",ROUNDUP(P28,0),ROUND(P28,0))</f>
        <v/>
      </c>
      <c r="L28" s="34" t="n"/>
      <c r="M28" s="35">
        <f>L28-K28</f>
        <v/>
      </c>
      <c r="N28" s="36">
        <f>IF(K28=0,"",L28/K28)</f>
        <v/>
      </c>
      <c r="O28" s="37">
        <f>IF(K28=0,"لا ينطبق",IF(L28&gt;=K28,"مكتمل",IF(L28=0,"لا يوجد","عجز")))</f>
        <v/>
      </c>
      <c r="P28" s="38">
        <f>IF(CAP&lt;=$D$4,D28*CAP/$D$4,IF(CAP&gt;=$J$4,J28*CAP/$J$4,INDEX($D28:$J28,$D$3)+$E$3*(INDEX($D28:$J28,$D$3+1)-INDEX($D28:$J28,$D$3))))</f>
        <v/>
      </c>
      <c r="Q28" s="39" t="inlineStr"/>
    </row>
    <row r="29">
      <c r="A29" s="30" t="n">
        <v>25</v>
      </c>
      <c r="B29" s="31" t="inlineStr">
        <is>
          <t>فني</t>
        </is>
      </c>
      <c r="C29" s="5" t="inlineStr">
        <is>
          <t>فني صحة عامة</t>
        </is>
      </c>
      <c r="D29" s="32" t="n">
        <v>1</v>
      </c>
      <c r="E29" s="32" t="n">
        <v>1</v>
      </c>
      <c r="F29" s="32" t="n">
        <v>2</v>
      </c>
      <c r="G29" s="32" t="n">
        <v>3</v>
      </c>
      <c r="H29" s="32" t="n">
        <v>4</v>
      </c>
      <c r="I29" s="32" t="n">
        <v>5</v>
      </c>
      <c r="J29" s="32" t="n">
        <v>6</v>
      </c>
      <c r="K29" s="33">
        <f>IF(RMODE="تقريب لأعلى",ROUNDUP(P29,0),ROUND(P29,0))</f>
        <v/>
      </c>
      <c r="L29" s="34" t="n"/>
      <c r="M29" s="35">
        <f>L29-K29</f>
        <v/>
      </c>
      <c r="N29" s="36">
        <f>IF(K29=0,"",L29/K29)</f>
        <v/>
      </c>
      <c r="O29" s="37">
        <f>IF(K29=0,"لا ينطبق",IF(L29&gt;=K29,"مكتمل",IF(L29=0,"لا يوجد","عجز")))</f>
        <v/>
      </c>
      <c r="P29" s="38">
        <f>IF(CAP&lt;=$D$4,D29*CAP/$D$4,IF(CAP&gt;=$J$4,J29*CAP/$J$4,INDEX($D29:$J29,$D$3)+$E$3*(INDEX($D29:$J29,$D$3+1)-INDEX($D29:$J29,$D$3))))</f>
        <v/>
      </c>
      <c r="Q29" s="39" t="inlineStr"/>
    </row>
    <row r="30">
      <c r="A30" s="30" t="n">
        <v>26</v>
      </c>
      <c r="B30" s="31" t="inlineStr">
        <is>
          <t>فني</t>
        </is>
      </c>
      <c r="C30" s="5" t="inlineStr">
        <is>
          <t>فني تغذية</t>
        </is>
      </c>
      <c r="D30" s="32" t="n">
        <v>1</v>
      </c>
      <c r="E30" s="32" t="n">
        <v>2</v>
      </c>
      <c r="F30" s="32" t="n">
        <v>3</v>
      </c>
      <c r="G30" s="32" t="n">
        <v>4</v>
      </c>
      <c r="H30" s="32" t="n">
        <v>6</v>
      </c>
      <c r="I30" s="32" t="n">
        <v>8</v>
      </c>
      <c r="J30" s="32" t="n">
        <v>10</v>
      </c>
      <c r="K30" s="33">
        <f>IF(RMODE="تقريب لأعلى",ROUNDUP(P30,0),ROUND(P30,0))</f>
        <v/>
      </c>
      <c r="L30" s="34" t="n"/>
      <c r="M30" s="35">
        <f>L30-K30</f>
        <v/>
      </c>
      <c r="N30" s="36">
        <f>IF(K30=0,"",L30/K30)</f>
        <v/>
      </c>
      <c r="O30" s="37">
        <f>IF(K30=0,"لا ينطبق",IF(L30&gt;=K30,"مكتمل",IF(L30=0,"لا يوجد","عجز")))</f>
        <v/>
      </c>
      <c r="P30" s="38">
        <f>IF(CAP&lt;=$D$4,D30*CAP/$D$4,IF(CAP&gt;=$J$4,J30*CAP/$J$4,INDEX($D30:$J30,$D$3)+$E$3*(INDEX($D30:$J30,$D$3+1)-INDEX($D30:$J30,$D$3))))</f>
        <v/>
      </c>
      <c r="Q30" s="39" t="inlineStr"/>
    </row>
    <row r="31">
      <c r="A31" s="30" t="n">
        <v>27</v>
      </c>
      <c r="B31" s="31" t="inlineStr">
        <is>
          <t>فني</t>
        </is>
      </c>
      <c r="C31" s="5" t="inlineStr">
        <is>
          <t>فني تثقيف صحي</t>
        </is>
      </c>
      <c r="D31" s="32" t="n">
        <v>1</v>
      </c>
      <c r="E31" s="32" t="n">
        <v>2</v>
      </c>
      <c r="F31" s="32" t="n">
        <v>2</v>
      </c>
      <c r="G31" s="32" t="n">
        <v>2</v>
      </c>
      <c r="H31" s="32" t="n">
        <v>3</v>
      </c>
      <c r="I31" s="32" t="n">
        <v>4</v>
      </c>
      <c r="J31" s="32" t="n">
        <v>4</v>
      </c>
      <c r="K31" s="33">
        <f>IF(RMODE="تقريب لأعلى",ROUNDUP(P31,0),ROUND(P31,0))</f>
        <v/>
      </c>
      <c r="L31" s="34" t="n"/>
      <c r="M31" s="35">
        <f>L31-K31</f>
        <v/>
      </c>
      <c r="N31" s="36">
        <f>IF(K31=0,"",L31/K31)</f>
        <v/>
      </c>
      <c r="O31" s="37">
        <f>IF(K31=0,"لا ينطبق",IF(L31&gt;=K31,"مكتمل",IF(L31=0,"لا يوجد","عجز")))</f>
        <v/>
      </c>
      <c r="P31" s="38">
        <f>IF(CAP&lt;=$D$4,D31*CAP/$D$4,IF(CAP&gt;=$J$4,J31*CAP/$J$4,INDEX($D31:$J31,$D$3)+$E$3*(INDEX($D31:$J31,$D$3+1)-INDEX($D31:$J31,$D$3))))</f>
        <v/>
      </c>
      <c r="Q31" s="39" t="inlineStr"/>
    </row>
    <row r="32">
      <c r="A32" s="30" t="n">
        <v>28</v>
      </c>
      <c r="B32" s="31" t="inlineStr">
        <is>
          <t>فني</t>
        </is>
      </c>
      <c r="C32" s="5" t="inlineStr">
        <is>
          <t>فني مساعد طبيب أسنان</t>
        </is>
      </c>
      <c r="D32" s="32" t="n">
        <v>1</v>
      </c>
      <c r="E32" s="32" t="n">
        <v>2</v>
      </c>
      <c r="F32" s="32" t="n">
        <v>2</v>
      </c>
      <c r="G32" s="32" t="n">
        <v>2</v>
      </c>
      <c r="H32" s="32" t="n">
        <v>3</v>
      </c>
      <c r="I32" s="32" t="n">
        <v>3</v>
      </c>
      <c r="J32" s="32" t="n">
        <v>3</v>
      </c>
      <c r="K32" s="33">
        <f>IF(RMODE="تقريب لأعلى",ROUNDUP(P32,0),ROUND(P32,0))</f>
        <v/>
      </c>
      <c r="L32" s="34" t="n"/>
      <c r="M32" s="35">
        <f>L32-K32</f>
        <v/>
      </c>
      <c r="N32" s="36">
        <f>IF(K32=0,"",L32/K32)</f>
        <v/>
      </c>
      <c r="O32" s="37">
        <f>IF(K32=0,"لا ينطبق",IF(L32&gt;=K32,"مكتمل",IF(L32=0,"لا يوجد","عجز")))</f>
        <v/>
      </c>
      <c r="P32" s="38">
        <f>IF(CAP&lt;=$D$4,D32*CAP/$D$4,IF(CAP&gt;=$J$4,J32*CAP/$J$4,INDEX($D32:$J32,$D$3)+$E$3*(INDEX($D32:$J32,$D$3+1)-INDEX($D32:$J32,$D$3))))</f>
        <v/>
      </c>
      <c r="Q32" s="39" t="inlineStr"/>
    </row>
    <row r="33">
      <c r="A33" s="30" t="n">
        <v>29</v>
      </c>
      <c r="B33" s="31" t="inlineStr">
        <is>
          <t>فني</t>
        </is>
      </c>
      <c r="C33" s="5" t="inlineStr">
        <is>
          <t>فني ترميز طبي</t>
        </is>
      </c>
      <c r="D33" s="32" t="n">
        <v>1</v>
      </c>
      <c r="E33" s="32" t="n">
        <v>2</v>
      </c>
      <c r="F33" s="32" t="n">
        <v>3</v>
      </c>
      <c r="G33" s="32" t="n">
        <v>3</v>
      </c>
      <c r="H33" s="32" t="n">
        <v>3</v>
      </c>
      <c r="I33" s="32" t="n">
        <v>4</v>
      </c>
      <c r="J33" s="32" t="n">
        <v>4</v>
      </c>
      <c r="K33" s="33">
        <f>IF(RMODE="تقريب لأعلى",ROUNDUP(P33,0),ROUND(P33,0))</f>
        <v/>
      </c>
      <c r="L33" s="34" t="n"/>
      <c r="M33" s="35">
        <f>L33-K33</f>
        <v/>
      </c>
      <c r="N33" s="36">
        <f>IF(K33=0,"",L33/K33)</f>
        <v/>
      </c>
      <c r="O33" s="37">
        <f>IF(K33=0,"لا ينطبق",IF(L33&gt;=K33,"مكتمل",IF(L33=0,"لا يوجد","عجز")))</f>
        <v/>
      </c>
      <c r="P33" s="38">
        <f>IF(CAP&lt;=$D$4,D33*CAP/$D$4,IF(CAP&gt;=$J$4,J33*CAP/$J$4,INDEX($D33:$J33,$D$3)+$E$3*(INDEX($D33:$J33,$D$3+1)-INDEX($D33:$J33,$D$3))))</f>
        <v/>
      </c>
      <c r="Q33" s="39" t="inlineStr"/>
    </row>
    <row r="34">
      <c r="A34" s="30" t="n">
        <v>30</v>
      </c>
      <c r="B34" s="31" t="inlineStr">
        <is>
          <t>فني</t>
        </is>
      </c>
      <c r="C34" s="5" t="inlineStr">
        <is>
          <t>مساعد مدير مستشفى</t>
        </is>
      </c>
      <c r="D34" s="32" t="n">
        <v>0</v>
      </c>
      <c r="E34" s="32" t="n">
        <v>0</v>
      </c>
      <c r="F34" s="32" t="n">
        <v>0</v>
      </c>
      <c r="G34" s="32" t="n">
        <v>1</v>
      </c>
      <c r="H34" s="32" t="n">
        <v>2</v>
      </c>
      <c r="I34" s="32" t="n">
        <v>2</v>
      </c>
      <c r="J34" s="32" t="n">
        <v>2</v>
      </c>
      <c r="K34" s="33">
        <f>IF(RMODE="تقريب لأعلى",ROUNDUP(P34,0),ROUND(P34,0))</f>
        <v/>
      </c>
      <c r="L34" s="34" t="n"/>
      <c r="M34" s="35">
        <f>L34-K34</f>
        <v/>
      </c>
      <c r="N34" s="36">
        <f>IF(K34=0,"",L34/K34)</f>
        <v/>
      </c>
      <c r="O34" s="37">
        <f>IF(K34=0,"لا ينطبق",IF(L34&gt;=K34,"مكتمل",IF(L34=0,"لا يوجد","عجز")))</f>
        <v/>
      </c>
      <c r="P34" s="38">
        <f>IF(CAP&lt;=$D$4,D34*CAP/$D$4,IF(CAP&gt;=$J$4,J34*CAP/$J$4,INDEX($D34:$J34,$D$3)+$E$3*(INDEX($D34:$J34,$D$3+1)-INDEX($D34:$J34,$D$3))))</f>
        <v/>
      </c>
      <c r="Q34" s="39" t="inlineStr"/>
    </row>
    <row r="35">
      <c r="A35" s="40" t="n"/>
      <c r="B35" s="40" t="n"/>
      <c r="C35" s="40" t="inlineStr">
        <is>
          <t>المجموع (محسوب من الجدول)</t>
        </is>
      </c>
      <c r="D35" s="41">
        <f>SUM(D5:D34)</f>
        <v/>
      </c>
      <c r="E35" s="41">
        <f>SUM(E5:E34)</f>
        <v/>
      </c>
      <c r="F35" s="41">
        <f>SUM(F5:F34)</f>
        <v/>
      </c>
      <c r="G35" s="41">
        <f>SUM(G5:G34)</f>
        <v/>
      </c>
      <c r="H35" s="41">
        <f>SUM(H5:H34)</f>
        <v/>
      </c>
      <c r="I35" s="41">
        <f>SUM(I5:I34)</f>
        <v/>
      </c>
      <c r="J35" s="41">
        <f>SUM(J5:J34)</f>
        <v/>
      </c>
      <c r="K35" s="41">
        <f>SUM(K5:K34)</f>
        <v/>
      </c>
      <c r="L35" s="42">
        <f>SUM(L5:L34)</f>
        <v/>
      </c>
      <c r="M35" s="41">
        <f>SUM(M5:M34)</f>
        <v/>
      </c>
      <c r="N35" s="43">
        <f>IF(K35=0,"",L35/K35)</f>
        <v/>
      </c>
      <c r="O35" s="42" t="n"/>
      <c r="P35" s="42">
        <f>SUM(P5:P34)</f>
        <v/>
      </c>
      <c r="Q35" s="42" t="n"/>
    </row>
    <row r="36">
      <c r="A36" s="44" t="n"/>
      <c r="B36" s="44" t="n"/>
      <c r="C36" s="44" t="inlineStr">
        <is>
          <t>المجموع المنشور في الدليل</t>
        </is>
      </c>
      <c r="D36" s="44" t="n">
        <v>98</v>
      </c>
      <c r="E36" s="44" t="n">
        <v>189</v>
      </c>
      <c r="F36" s="44" t="n">
        <v>274</v>
      </c>
      <c r="G36" s="44" t="n">
        <v>359</v>
      </c>
      <c r="H36" s="44" t="n">
        <v>507</v>
      </c>
      <c r="I36" s="44" t="n">
        <v>689</v>
      </c>
      <c r="J36" s="44" t="n">
        <v>851</v>
      </c>
    </row>
    <row r="37">
      <c r="A37" s="44" t="n"/>
      <c r="B37" s="44" t="n"/>
      <c r="C37" s="44" t="inlineStr">
        <is>
          <t>الفرق (محسوب − منشور)</t>
        </is>
      </c>
      <c r="D37" s="44">
        <f>D35-D36</f>
        <v/>
      </c>
      <c r="E37" s="44">
        <f>E35-E36</f>
        <v/>
      </c>
      <c r="F37" s="44">
        <f>F35-F36</f>
        <v/>
      </c>
      <c r="G37" s="44">
        <f>G35-G36</f>
        <v/>
      </c>
      <c r="H37" s="44">
        <f>H35-H36</f>
        <v/>
      </c>
      <c r="I37" s="44">
        <f>I35-I36</f>
        <v/>
      </c>
      <c r="J37" s="44">
        <f>J35-J36</f>
        <v/>
      </c>
    </row>
  </sheetData>
  <mergeCells count="2">
    <mergeCell ref="A2:Q2"/>
    <mergeCell ref="A1:Q1"/>
  </mergeCells>
  <conditionalFormatting sqref="O5:O34">
    <cfRule type="expression" priority="1" dxfId="0">
      <formula>OR(O5="عجز",O5="لا يوجد")</formula>
    </cfRule>
    <cfRule type="expression" priority="2" dxfId="1">
      <formula>O5="مكتمل"</formula>
    </cfRule>
  </conditionalFormatting>
  <pageMargins left="0.75" right="0.75" top="1" bottom="1" header="0.5" footer="0.5"/>
</worksheet>
</file>

<file path=xl/worksheets/sheet6.xml><?xml version="1.0" encoding="utf-8"?>
<worksheet xmlns="http://schemas.openxmlformats.org/spreadsheetml/2006/main">
  <sheetPr>
    <tabColor rgb="001F6F6B"/>
    <outlinePr summaryBelow="1" summaryRight="1"/>
    <pageSetUpPr/>
  </sheetPr>
  <dimension ref="A1:Q14"/>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2" customWidth="1" min="12" max="12"/>
    <col width="13" customWidth="1" min="13" max="13"/>
    <col width="10" customWidth="1" min="14" max="14"/>
    <col width="11" customWidth="1" min="15" max="15"/>
    <col width="11" customWidth="1" min="16" max="16"/>
    <col width="42" customWidth="1" min="17" max="17"/>
  </cols>
  <sheetData>
    <row r="1" ht="30" customHeight="1">
      <c r="A1" s="1" t="inlineStr">
        <is>
          <t>عام - الصيادلة</t>
        </is>
      </c>
    </row>
    <row r="2" ht="20" customHeight="1">
      <c r="A2" s="2" t="inlineStr">
        <is>
          <t>الملحق (1) — الصيادلة (صفحة 29)</t>
        </is>
      </c>
    </row>
    <row r="3">
      <c r="C3" s="25" t="inlineStr">
        <is>
          <t>معاملا الاستيفاء ◄</t>
        </is>
      </c>
      <c r="D3" s="26">
        <f>IFERROR(MATCH(CAP,$D$4:$J$4,1),1)</f>
        <v/>
      </c>
      <c r="E3" s="27">
        <f>IF(OR(CAP&lt;=$D$4,CAP&gt;=$J$4),0,(CAP-INDEX($D$4:$J$4,$D$3))/(INDEX($D$4:$J$4,$D$3+1)-INDEX($D$4:$J$4,$D$3)))</f>
        <v/>
      </c>
    </row>
    <row r="4" ht="42" customHeight="1">
      <c r="A4" s="28" t="inlineStr">
        <is>
          <t>م</t>
        </is>
      </c>
      <c r="B4" s="28" t="inlineStr">
        <is>
          <t>الفئة</t>
        </is>
      </c>
      <c r="C4" s="28" t="inlineStr">
        <is>
          <t>المسمى الوظيفي</t>
        </is>
      </c>
      <c r="D4" s="29" t="n">
        <v>50</v>
      </c>
      <c r="E4" s="29" t="n">
        <v>100</v>
      </c>
      <c r="F4" s="29" t="n">
        <v>150</v>
      </c>
      <c r="G4" s="29" t="n">
        <v>200</v>
      </c>
      <c r="H4" s="29" t="n">
        <v>300</v>
      </c>
      <c r="I4" s="29" t="n">
        <v>400</v>
      </c>
      <c r="J4" s="29" t="n">
        <v>500</v>
      </c>
      <c r="K4" s="28" t="inlineStr">
        <is>
          <t>الاحتياج للسعة المدخلة</t>
        </is>
      </c>
      <c r="L4" s="28" t="inlineStr">
        <is>
          <t>الموجود فعلياً</t>
        </is>
      </c>
      <c r="M4" s="28" t="inlineStr">
        <is>
          <t>الفجوة (+فائض / -عجز)</t>
        </is>
      </c>
      <c r="N4" s="28" t="inlineStr">
        <is>
          <t>نسبة التغطية</t>
        </is>
      </c>
      <c r="O4" s="28" t="inlineStr">
        <is>
          <t>الحالة</t>
        </is>
      </c>
      <c r="P4" s="28" t="inlineStr">
        <is>
          <t>القيمة قبل التقريب</t>
        </is>
      </c>
      <c r="Q4" s="28" t="inlineStr">
        <is>
          <t>ملاحظات</t>
        </is>
      </c>
    </row>
    <row r="5">
      <c r="A5" s="30" t="n">
        <v>1</v>
      </c>
      <c r="B5" s="31" t="inlineStr">
        <is>
          <t>صيدلي</t>
        </is>
      </c>
      <c r="C5" s="5" t="inlineStr">
        <is>
          <t>صيدلي استشاري إكلينيكي</t>
        </is>
      </c>
      <c r="D5" s="32" t="n">
        <v>2</v>
      </c>
      <c r="E5" s="32" t="n">
        <v>4</v>
      </c>
      <c r="F5" s="32" t="n">
        <v>6</v>
      </c>
      <c r="G5" s="32" t="n">
        <v>8</v>
      </c>
      <c r="H5" s="32" t="n">
        <v>12</v>
      </c>
      <c r="I5" s="32" t="n">
        <v>16</v>
      </c>
      <c r="J5" s="32" t="n">
        <v>20</v>
      </c>
      <c r="K5" s="33">
        <f>IF(RMODE="تقريب لأعلى",ROUNDUP(P5,0),ROUND(P5,0))</f>
        <v/>
      </c>
      <c r="L5" s="34" t="n"/>
      <c r="M5" s="35">
        <f>L5-K5</f>
        <v/>
      </c>
      <c r="N5" s="36">
        <f>IF(K5=0,"",L5/K5)</f>
        <v/>
      </c>
      <c r="O5" s="37">
        <f>IF(K5=0,"لا ينطبق",IF(L5&gt;=K5,"مكتمل",IF(L5=0,"لا يوجد","عجز")))</f>
        <v/>
      </c>
      <c r="P5" s="38">
        <f>IF(CAP&lt;=$D$4,D5*CAP/$D$4,IF(CAP&gt;=$J$4,J5*CAP/$J$4,INDEX($D5:$J5,$D$3)+$E$3*(INDEX($D5:$J5,$D$3+1)-INDEX($D5:$J5,$D$3))))</f>
        <v/>
      </c>
      <c r="Q5" s="39" t="inlineStr"/>
    </row>
    <row r="6">
      <c r="A6" s="30" t="n">
        <v>2</v>
      </c>
      <c r="B6" s="31" t="inlineStr">
        <is>
          <t>صيدلي</t>
        </is>
      </c>
      <c r="C6" s="5" t="inlineStr">
        <is>
          <t>صيدلي أول إكلينيكي</t>
        </is>
      </c>
      <c r="D6" s="32" t="n">
        <v>3</v>
      </c>
      <c r="E6" s="32" t="n">
        <v>7</v>
      </c>
      <c r="F6" s="32" t="n">
        <v>11</v>
      </c>
      <c r="G6" s="32" t="n">
        <v>15</v>
      </c>
      <c r="H6" s="32" t="n">
        <v>22</v>
      </c>
      <c r="I6" s="32" t="n">
        <v>30</v>
      </c>
      <c r="J6" s="32" t="n">
        <v>37</v>
      </c>
      <c r="K6" s="33">
        <f>IF(RMODE="تقريب لأعلى",ROUNDUP(P6,0),ROUND(P6,0))</f>
        <v/>
      </c>
      <c r="L6" s="34" t="n"/>
      <c r="M6" s="35">
        <f>L6-K6</f>
        <v/>
      </c>
      <c r="N6" s="36">
        <f>IF(K6=0,"",L6/K6)</f>
        <v/>
      </c>
      <c r="O6" s="37">
        <f>IF(K6=0,"لا ينطبق",IF(L6&gt;=K6,"مكتمل",IF(L6=0,"لا يوجد","عجز")))</f>
        <v/>
      </c>
      <c r="P6" s="38">
        <f>IF(CAP&lt;=$D$4,D6*CAP/$D$4,IF(CAP&gt;=$J$4,J6*CAP/$J$4,INDEX($D6:$J6,$D$3)+$E$3*(INDEX($D6:$J6,$D$3+1)-INDEX($D6:$J6,$D$3))))</f>
        <v/>
      </c>
      <c r="Q6" s="39" t="inlineStr"/>
    </row>
    <row r="7">
      <c r="A7" s="30" t="n">
        <v>3</v>
      </c>
      <c r="B7" s="31" t="inlineStr">
        <is>
          <t>صيدلي</t>
        </is>
      </c>
      <c r="C7" s="5" t="inlineStr">
        <is>
          <t>صيدلي إكلينيكي</t>
        </is>
      </c>
      <c r="D7" s="32" t="n">
        <v>0</v>
      </c>
      <c r="E7" s="32" t="n">
        <v>0</v>
      </c>
      <c r="F7" s="32" t="n">
        <v>0</v>
      </c>
      <c r="G7" s="32" t="n">
        <v>0</v>
      </c>
      <c r="H7" s="32" t="n">
        <v>0</v>
      </c>
      <c r="I7" s="32" t="n">
        <v>0</v>
      </c>
      <c r="J7" s="32" t="n">
        <v>0</v>
      </c>
      <c r="K7" s="33">
        <f>IF(RMODE="تقريب لأعلى",ROUNDUP(P7,0),ROUND(P7,0))</f>
        <v/>
      </c>
      <c r="L7" s="34" t="n"/>
      <c r="M7" s="35">
        <f>L7-K7</f>
        <v/>
      </c>
      <c r="N7" s="36">
        <f>IF(K7=0,"",L7/K7)</f>
        <v/>
      </c>
      <c r="O7" s="37">
        <f>IF(K7=0,"لا ينطبق",IF(L7&gt;=K7,"مكتمل",IF(L7=0,"لا يوجد","عجز")))</f>
        <v/>
      </c>
      <c r="P7" s="38">
        <f>IF(CAP&lt;=$D$4,D7*CAP/$D$4,IF(CAP&gt;=$J$4,J7*CAP/$J$4,INDEX($D7:$J7,$D$3)+$E$3*(INDEX($D7:$J7,$D$3+1)-INDEX($D7:$J7,$D$3))))</f>
        <v/>
      </c>
      <c r="Q7" s="39" t="inlineStr">
        <is>
          <t>وارد في الدليل بقيم صفرية</t>
        </is>
      </c>
    </row>
    <row r="8">
      <c r="A8" s="30" t="n">
        <v>4</v>
      </c>
      <c r="B8" s="31" t="inlineStr">
        <is>
          <t>صيدلي</t>
        </is>
      </c>
      <c r="C8" s="5" t="inlineStr">
        <is>
          <t>صيدلي استشاري</t>
        </is>
      </c>
      <c r="D8" s="32" t="n">
        <v>1</v>
      </c>
      <c r="E8" s="32" t="n">
        <v>1</v>
      </c>
      <c r="F8" s="32" t="n">
        <v>1</v>
      </c>
      <c r="G8" s="32" t="n">
        <v>1</v>
      </c>
      <c r="H8" s="32" t="n">
        <v>1</v>
      </c>
      <c r="I8" s="32" t="n">
        <v>1</v>
      </c>
      <c r="J8" s="32" t="n">
        <v>1</v>
      </c>
      <c r="K8" s="33">
        <f>IF(RMODE="تقريب لأعلى",ROUNDUP(P8,0),ROUND(P8,0))</f>
        <v/>
      </c>
      <c r="L8" s="34" t="n"/>
      <c r="M8" s="35">
        <f>L8-K8</f>
        <v/>
      </c>
      <c r="N8" s="36">
        <f>IF(K8=0,"",L8/K8)</f>
        <v/>
      </c>
      <c r="O8" s="37">
        <f>IF(K8=0,"لا ينطبق",IF(L8&gt;=K8,"مكتمل",IF(L8=0,"لا يوجد","عجز")))</f>
        <v/>
      </c>
      <c r="P8" s="38">
        <f>IF(CAP&lt;=$D$4,D8*CAP/$D$4,IF(CAP&gt;=$J$4,J8*CAP/$J$4,INDEX($D8:$J8,$D$3)+$E$3*(INDEX($D8:$J8,$D$3+1)-INDEX($D8:$J8,$D$3))))</f>
        <v/>
      </c>
      <c r="Q8" s="39" t="inlineStr"/>
    </row>
    <row r="9">
      <c r="A9" s="30" t="n">
        <v>5</v>
      </c>
      <c r="B9" s="31" t="inlineStr">
        <is>
          <t>صيدلي</t>
        </is>
      </c>
      <c r="C9" s="5" t="inlineStr">
        <is>
          <t>صيدلي أول</t>
        </is>
      </c>
      <c r="D9" s="32" t="n">
        <v>2</v>
      </c>
      <c r="E9" s="32" t="n">
        <v>2</v>
      </c>
      <c r="F9" s="32" t="n">
        <v>2</v>
      </c>
      <c r="G9" s="32" t="n">
        <v>2</v>
      </c>
      <c r="H9" s="32" t="n">
        <v>2</v>
      </c>
      <c r="I9" s="32" t="n">
        <v>2</v>
      </c>
      <c r="J9" s="32" t="n">
        <v>2</v>
      </c>
      <c r="K9" s="33">
        <f>IF(RMODE="تقريب لأعلى",ROUNDUP(P9,0),ROUND(P9,0))</f>
        <v/>
      </c>
      <c r="L9" s="34" t="n"/>
      <c r="M9" s="35">
        <f>L9-K9</f>
        <v/>
      </c>
      <c r="N9" s="36">
        <f>IF(K9=0,"",L9/K9)</f>
        <v/>
      </c>
      <c r="O9" s="37">
        <f>IF(K9=0,"لا ينطبق",IF(L9&gt;=K9,"مكتمل",IF(L9=0,"لا يوجد","عجز")))</f>
        <v/>
      </c>
      <c r="P9" s="38">
        <f>IF(CAP&lt;=$D$4,D9*CAP/$D$4,IF(CAP&gt;=$J$4,J9*CAP/$J$4,INDEX($D9:$J9,$D$3)+$E$3*(INDEX($D9:$J9,$D$3+1)-INDEX($D9:$J9,$D$3))))</f>
        <v/>
      </c>
      <c r="Q9" s="39" t="inlineStr"/>
    </row>
    <row r="10">
      <c r="A10" s="30" t="n">
        <v>6</v>
      </c>
      <c r="B10" s="31" t="inlineStr">
        <is>
          <t>صيدلي</t>
        </is>
      </c>
      <c r="C10" s="5" t="inlineStr">
        <is>
          <t>صيدلي</t>
        </is>
      </c>
      <c r="D10" s="32" t="n">
        <v>12</v>
      </c>
      <c r="E10" s="32" t="n">
        <v>25</v>
      </c>
      <c r="F10" s="32" t="n">
        <v>37</v>
      </c>
      <c r="G10" s="32" t="n">
        <v>50</v>
      </c>
      <c r="H10" s="32" t="n">
        <v>75</v>
      </c>
      <c r="I10" s="32" t="n">
        <v>100</v>
      </c>
      <c r="J10" s="32" t="n">
        <v>125</v>
      </c>
      <c r="K10" s="33">
        <f>IF(RMODE="تقريب لأعلى",ROUNDUP(P10,0),ROUND(P10,0))</f>
        <v/>
      </c>
      <c r="L10" s="34" t="n"/>
      <c r="M10" s="35">
        <f>L10-K10</f>
        <v/>
      </c>
      <c r="N10" s="36">
        <f>IF(K10=0,"",L10/K10)</f>
        <v/>
      </c>
      <c r="O10" s="37">
        <f>IF(K10=0,"لا ينطبق",IF(L10&gt;=K10,"مكتمل",IF(L10=0,"لا يوجد","عجز")))</f>
        <v/>
      </c>
      <c r="P10" s="38">
        <f>IF(CAP&lt;=$D$4,D10*CAP/$D$4,IF(CAP&gt;=$J$4,J10*CAP/$J$4,INDEX($D10:$J10,$D$3)+$E$3*(INDEX($D10:$J10,$D$3+1)-INDEX($D10:$J10,$D$3))))</f>
        <v/>
      </c>
      <c r="Q10" s="39" t="inlineStr"/>
    </row>
    <row r="11">
      <c r="A11" s="30" t="n">
        <v>7</v>
      </c>
      <c r="B11" s="31" t="inlineStr">
        <is>
          <t>صيدلي</t>
        </is>
      </c>
      <c r="C11" s="5" t="inlineStr">
        <is>
          <t>مساعد صيدلي</t>
        </is>
      </c>
      <c r="D11" s="32" t="n">
        <v>15</v>
      </c>
      <c r="E11" s="32" t="n">
        <v>30</v>
      </c>
      <c r="F11" s="32" t="n">
        <v>45</v>
      </c>
      <c r="G11" s="32" t="n">
        <v>60</v>
      </c>
      <c r="H11" s="32" t="n">
        <v>90</v>
      </c>
      <c r="I11" s="32" t="n">
        <v>120</v>
      </c>
      <c r="J11" s="32" t="n">
        <v>150</v>
      </c>
      <c r="K11" s="33">
        <f>IF(RMODE="تقريب لأعلى",ROUNDUP(P11,0),ROUND(P11,0))</f>
        <v/>
      </c>
      <c r="L11" s="34" t="n"/>
      <c r="M11" s="35">
        <f>L11-K11</f>
        <v/>
      </c>
      <c r="N11" s="36">
        <f>IF(K11=0,"",L11/K11)</f>
        <v/>
      </c>
      <c r="O11" s="37">
        <f>IF(K11=0,"لا ينطبق",IF(L11&gt;=K11,"مكتمل",IF(L11=0,"لا يوجد","عجز")))</f>
        <v/>
      </c>
      <c r="P11" s="38">
        <f>IF(CAP&lt;=$D$4,D11*CAP/$D$4,IF(CAP&gt;=$J$4,J11*CAP/$J$4,INDEX($D11:$J11,$D$3)+$E$3*(INDEX($D11:$J11,$D$3+1)-INDEX($D11:$J11,$D$3))))</f>
        <v/>
      </c>
      <c r="Q11" s="39" t="inlineStr"/>
    </row>
    <row r="12">
      <c r="A12" s="40" t="n"/>
      <c r="B12" s="40" t="n"/>
      <c r="C12" s="40" t="inlineStr">
        <is>
          <t>المجموع (محسوب من الجدول)</t>
        </is>
      </c>
      <c r="D12" s="41">
        <f>SUM(D5:D11)</f>
        <v/>
      </c>
      <c r="E12" s="41">
        <f>SUM(E5:E11)</f>
        <v/>
      </c>
      <c r="F12" s="41">
        <f>SUM(F5:F11)</f>
        <v/>
      </c>
      <c r="G12" s="41">
        <f>SUM(G5:G11)</f>
        <v/>
      </c>
      <c r="H12" s="41">
        <f>SUM(H5:H11)</f>
        <v/>
      </c>
      <c r="I12" s="41">
        <f>SUM(I5:I11)</f>
        <v/>
      </c>
      <c r="J12" s="41">
        <f>SUM(J5:J11)</f>
        <v/>
      </c>
      <c r="K12" s="41">
        <f>SUM(K5:K11)</f>
        <v/>
      </c>
      <c r="L12" s="42">
        <f>SUM(L5:L11)</f>
        <v/>
      </c>
      <c r="M12" s="41">
        <f>SUM(M5:M11)</f>
        <v/>
      </c>
      <c r="N12" s="43">
        <f>IF(K12=0,"",L12/K12)</f>
        <v/>
      </c>
      <c r="O12" s="42" t="n"/>
      <c r="P12" s="42">
        <f>SUM(P5:P11)</f>
        <v/>
      </c>
      <c r="Q12" s="42" t="n"/>
    </row>
    <row r="13">
      <c r="A13" s="44" t="n"/>
      <c r="B13" s="44" t="n"/>
      <c r="C13" s="44" t="inlineStr">
        <is>
          <t>المجموع المنشور في الدليل</t>
        </is>
      </c>
      <c r="D13" s="44" t="n">
        <v>35</v>
      </c>
      <c r="E13" s="44" t="n">
        <v>69</v>
      </c>
      <c r="F13" s="44" t="n">
        <v>102</v>
      </c>
      <c r="G13" s="44" t="n">
        <v>136</v>
      </c>
      <c r="H13" s="44" t="n">
        <v>202</v>
      </c>
      <c r="I13" s="44" t="n">
        <v>269</v>
      </c>
      <c r="J13" s="44" t="n">
        <v>335</v>
      </c>
    </row>
    <row r="14">
      <c r="A14" s="44" t="n"/>
      <c r="B14" s="44" t="n"/>
      <c r="C14" s="44" t="inlineStr">
        <is>
          <t>الفرق (محسوب − منشور)</t>
        </is>
      </c>
      <c r="D14" s="44">
        <f>D12-D13</f>
        <v/>
      </c>
      <c r="E14" s="44">
        <f>E12-E13</f>
        <v/>
      </c>
      <c r="F14" s="44">
        <f>F12-F13</f>
        <v/>
      </c>
      <c r="G14" s="44">
        <f>G12-G13</f>
        <v/>
      </c>
      <c r="H14" s="44">
        <f>H12-H13</f>
        <v/>
      </c>
      <c r="I14" s="44">
        <f>I12-I13</f>
        <v/>
      </c>
      <c r="J14" s="44">
        <f>J12-J13</f>
        <v/>
      </c>
    </row>
  </sheetData>
  <mergeCells count="2">
    <mergeCell ref="A2:Q2"/>
    <mergeCell ref="A1:Q1"/>
  </mergeCells>
  <conditionalFormatting sqref="O5:O11">
    <cfRule type="expression" priority="1" dxfId="0">
      <formula>OR(O5="عجز",O5="لا يوجد")</formula>
    </cfRule>
    <cfRule type="expression" priority="2" dxfId="1">
      <formula>O5="مكتمل"</formula>
    </cfRule>
  </conditionalFormatting>
  <pageMargins left="0.75" right="0.75" top="1" bottom="1" header="0.5" footer="0.5"/>
</worksheet>
</file>

<file path=xl/worksheets/sheet7.xml><?xml version="1.0" encoding="utf-8"?>
<worksheet xmlns="http://schemas.openxmlformats.org/spreadsheetml/2006/main">
  <sheetPr>
    <tabColor rgb="001F6F6B"/>
    <outlinePr summaryBelow="1" summaryRight="1"/>
    <pageSetUpPr/>
  </sheetPr>
  <dimension ref="A1:Q12"/>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2" customWidth="1" min="12" max="12"/>
    <col width="13" customWidth="1" min="13" max="13"/>
    <col width="10" customWidth="1" min="14" max="14"/>
    <col width="11" customWidth="1" min="15" max="15"/>
    <col width="11" customWidth="1" min="16" max="16"/>
    <col width="42" customWidth="1" min="17" max="17"/>
  </cols>
  <sheetData>
    <row r="1" ht="30" customHeight="1">
      <c r="A1" s="1" t="inlineStr">
        <is>
          <t>عام - المساعد الصحي</t>
        </is>
      </c>
    </row>
    <row r="2" ht="20" customHeight="1">
      <c r="A2" s="2" t="inlineStr">
        <is>
          <t>الملحق (1) — المساعد الصحي (صفحة 29)</t>
        </is>
      </c>
    </row>
    <row r="3">
      <c r="C3" s="25" t="inlineStr">
        <is>
          <t>معاملا الاستيفاء ◄</t>
        </is>
      </c>
      <c r="D3" s="26">
        <f>IFERROR(MATCH(CAP,$D$4:$J$4,1),1)</f>
        <v/>
      </c>
      <c r="E3" s="27">
        <f>IF(OR(CAP&lt;=$D$4,CAP&gt;=$J$4),0,(CAP-INDEX($D$4:$J$4,$D$3))/(INDEX($D$4:$J$4,$D$3+1)-INDEX($D$4:$J$4,$D$3)))</f>
        <v/>
      </c>
    </row>
    <row r="4" ht="42" customHeight="1">
      <c r="A4" s="28" t="inlineStr">
        <is>
          <t>م</t>
        </is>
      </c>
      <c r="B4" s="28" t="inlineStr">
        <is>
          <t>الفئة</t>
        </is>
      </c>
      <c r="C4" s="28" t="inlineStr">
        <is>
          <t>المسمى الوظيفي</t>
        </is>
      </c>
      <c r="D4" s="29" t="n">
        <v>50</v>
      </c>
      <c r="E4" s="29" t="n">
        <v>100</v>
      </c>
      <c r="F4" s="29" t="n">
        <v>150</v>
      </c>
      <c r="G4" s="29" t="n">
        <v>200</v>
      </c>
      <c r="H4" s="29" t="n">
        <v>300</v>
      </c>
      <c r="I4" s="29" t="n">
        <v>400</v>
      </c>
      <c r="J4" s="29" t="n">
        <v>500</v>
      </c>
      <c r="K4" s="28" t="inlineStr">
        <is>
          <t>الاحتياج للسعة المدخلة</t>
        </is>
      </c>
      <c r="L4" s="28" t="inlineStr">
        <is>
          <t>الموجود فعلياً</t>
        </is>
      </c>
      <c r="M4" s="28" t="inlineStr">
        <is>
          <t>الفجوة (+فائض / -عجز)</t>
        </is>
      </c>
      <c r="N4" s="28" t="inlineStr">
        <is>
          <t>نسبة التغطية</t>
        </is>
      </c>
      <c r="O4" s="28" t="inlineStr">
        <is>
          <t>الحالة</t>
        </is>
      </c>
      <c r="P4" s="28" t="inlineStr">
        <is>
          <t>القيمة قبل التقريب</t>
        </is>
      </c>
      <c r="Q4" s="28" t="inlineStr">
        <is>
          <t>ملاحظات</t>
        </is>
      </c>
    </row>
    <row r="5">
      <c r="A5" s="30" t="n">
        <v>1</v>
      </c>
      <c r="B5" s="31" t="inlineStr">
        <is>
          <t>مساعد صحي</t>
        </is>
      </c>
      <c r="C5" s="5" t="inlineStr">
        <is>
          <t>مساعد صحي / فني رعاية مرضى</t>
        </is>
      </c>
      <c r="D5" s="32" t="n">
        <v>18</v>
      </c>
      <c r="E5" s="32" t="n">
        <v>36</v>
      </c>
      <c r="F5" s="32" t="n">
        <v>56</v>
      </c>
      <c r="G5" s="32" t="n">
        <v>78</v>
      </c>
      <c r="H5" s="32" t="n">
        <v>120</v>
      </c>
      <c r="I5" s="32" t="n">
        <v>165</v>
      </c>
      <c r="J5" s="32" t="n">
        <v>210</v>
      </c>
      <c r="K5" s="33">
        <f>IF(RMODE="تقريب لأعلى",ROUNDUP(P5,0),ROUND(P5,0))</f>
        <v/>
      </c>
      <c r="L5" s="34" t="n"/>
      <c r="M5" s="35">
        <f>L5-K5</f>
        <v/>
      </c>
      <c r="N5" s="36">
        <f>IF(K5=0,"",L5/K5)</f>
        <v/>
      </c>
      <c r="O5" s="37">
        <f>IF(K5=0,"لا ينطبق",IF(L5&gt;=K5,"مكتمل",IF(L5=0,"لا يوجد","عجز")))</f>
        <v/>
      </c>
      <c r="P5" s="38">
        <f>IF(CAP&lt;=$D$4,D5*CAP/$D$4,IF(CAP&gt;=$J$4,J5*CAP/$J$4,INDEX($D5:$J5,$D$3)+$E$3*(INDEX($D5:$J5,$D$3+1)-INDEX($D5:$J5,$D$3))))</f>
        <v/>
      </c>
      <c r="Q5" s="39" t="inlineStr">
        <is>
          <t>إيضاح 40: أضيف فني رعاية مرضى (مساعدة ممرضة سابقاً) بناءً على معايير الهيئة السعودية للتخصصات الصحية</t>
        </is>
      </c>
    </row>
    <row r="6">
      <c r="A6" s="30" t="n">
        <v>2</v>
      </c>
      <c r="B6" s="31" t="inlineStr">
        <is>
          <t>مساعد صحي</t>
        </is>
      </c>
      <c r="C6" s="5" t="inlineStr">
        <is>
          <t>مساعد تمريض رجال</t>
        </is>
      </c>
      <c r="D6" s="32" t="n">
        <v>3</v>
      </c>
      <c r="E6" s="32" t="n">
        <v>4</v>
      </c>
      <c r="F6" s="32" t="n">
        <v>6</v>
      </c>
      <c r="G6" s="32" t="n">
        <v>8</v>
      </c>
      <c r="H6" s="32" t="n">
        <v>10</v>
      </c>
      <c r="I6" s="32" t="n">
        <v>10</v>
      </c>
      <c r="J6" s="32" t="n">
        <v>15</v>
      </c>
      <c r="K6" s="33">
        <f>IF(RMODE="تقريب لأعلى",ROUNDUP(P6,0),ROUND(P6,0))</f>
        <v/>
      </c>
      <c r="L6" s="34" t="n"/>
      <c r="M6" s="35">
        <f>L6-K6</f>
        <v/>
      </c>
      <c r="N6" s="36">
        <f>IF(K6=0,"",L6/K6)</f>
        <v/>
      </c>
      <c r="O6" s="37">
        <f>IF(K6=0,"لا ينطبق",IF(L6&gt;=K6,"مكتمل",IF(L6=0,"لا يوجد","عجز")))</f>
        <v/>
      </c>
      <c r="P6" s="38">
        <f>IF(CAP&lt;=$D$4,D6*CAP/$D$4,IF(CAP&gt;=$J$4,J6*CAP/$J$4,INDEX($D6:$J6,$D$3)+$E$3*(INDEX($D6:$J6,$D$3+1)-INDEX($D6:$J6,$D$3))))</f>
        <v/>
      </c>
      <c r="Q6" s="39" t="inlineStr"/>
    </row>
    <row r="7">
      <c r="A7" s="30" t="n">
        <v>3</v>
      </c>
      <c r="B7" s="31" t="inlineStr">
        <is>
          <t>مساعد صحي</t>
        </is>
      </c>
      <c r="C7" s="5" t="inlineStr">
        <is>
          <t>مسعف</t>
        </is>
      </c>
      <c r="D7" s="32" t="n">
        <v>6</v>
      </c>
      <c r="E7" s="32" t="n">
        <v>10</v>
      </c>
      <c r="F7" s="32" t="n">
        <v>10</v>
      </c>
      <c r="G7" s="32" t="n">
        <v>13</v>
      </c>
      <c r="H7" s="32" t="n">
        <v>14</v>
      </c>
      <c r="I7" s="32" t="n">
        <v>17</v>
      </c>
      <c r="J7" s="32" t="n">
        <v>20</v>
      </c>
      <c r="K7" s="33">
        <f>IF(RMODE="تقريب لأعلى",ROUNDUP(P7,0),ROUND(P7,0))</f>
        <v/>
      </c>
      <c r="L7" s="34" t="n"/>
      <c r="M7" s="35">
        <f>L7-K7</f>
        <v/>
      </c>
      <c r="N7" s="36">
        <f>IF(K7=0,"",L7/K7)</f>
        <v/>
      </c>
      <c r="O7" s="37">
        <f>IF(K7=0,"لا ينطبق",IF(L7&gt;=K7,"مكتمل",IF(L7=0,"لا يوجد","عجز")))</f>
        <v/>
      </c>
      <c r="P7" s="38">
        <f>IF(CAP&lt;=$D$4,D7*CAP/$D$4,IF(CAP&gt;=$J$4,J7*CAP/$J$4,INDEX($D7:$J7,$D$3)+$E$3*(INDEX($D7:$J7,$D$3+1)-INDEX($D7:$J7,$D$3))))</f>
        <v/>
      </c>
      <c r="Q7" s="39" t="inlineStr"/>
    </row>
    <row r="8">
      <c r="A8" s="30" t="n">
        <v>4</v>
      </c>
      <c r="B8" s="31" t="inlineStr">
        <is>
          <t>مساعد صحي</t>
        </is>
      </c>
      <c r="C8" s="5" t="inlineStr">
        <is>
          <t>مسعف (سائق)</t>
        </is>
      </c>
      <c r="D8" s="32" t="n">
        <v>6</v>
      </c>
      <c r="E8" s="32" t="n">
        <v>8</v>
      </c>
      <c r="F8" s="32" t="n">
        <v>8</v>
      </c>
      <c r="G8" s="32" t="n">
        <v>11</v>
      </c>
      <c r="H8" s="32" t="n">
        <v>11</v>
      </c>
      <c r="I8" s="32" t="n">
        <v>15</v>
      </c>
      <c r="J8" s="32" t="n">
        <v>18</v>
      </c>
      <c r="K8" s="33">
        <f>IF(RMODE="تقريب لأعلى",ROUNDUP(P8,0),ROUND(P8,0))</f>
        <v/>
      </c>
      <c r="L8" s="34" t="n"/>
      <c r="M8" s="35">
        <f>L8-K8</f>
        <v/>
      </c>
      <c r="N8" s="36">
        <f>IF(K8=0,"",L8/K8)</f>
        <v/>
      </c>
      <c r="O8" s="37">
        <f>IF(K8=0,"لا ينطبق",IF(L8&gt;=K8,"مكتمل",IF(L8=0,"لا يوجد","عجز")))</f>
        <v/>
      </c>
      <c r="P8" s="38">
        <f>IF(CAP&lt;=$D$4,D8*CAP/$D$4,IF(CAP&gt;=$J$4,J8*CAP/$J$4,INDEX($D8:$J8,$D$3)+$E$3*(INDEX($D8:$J8,$D$3+1)-INDEX($D8:$J8,$D$3))))</f>
        <v/>
      </c>
      <c r="Q8" s="39" t="inlineStr"/>
    </row>
    <row r="9">
      <c r="A9" s="30" t="n">
        <v>5</v>
      </c>
      <c r="B9" s="31" t="inlineStr">
        <is>
          <t>مساعد صحي</t>
        </is>
      </c>
      <c r="C9" s="5" t="inlineStr">
        <is>
          <t>مساعد صحي سحب دم</t>
        </is>
      </c>
      <c r="D9" s="32" t="n">
        <v>2</v>
      </c>
      <c r="E9" s="32" t="n">
        <v>6</v>
      </c>
      <c r="F9" s="32" t="n">
        <v>6</v>
      </c>
      <c r="G9" s="32" t="n">
        <v>8</v>
      </c>
      <c r="H9" s="32" t="n">
        <v>10</v>
      </c>
      <c r="I9" s="32" t="n">
        <v>12</v>
      </c>
      <c r="J9" s="32" t="n">
        <v>12</v>
      </c>
      <c r="K9" s="33">
        <f>IF(RMODE="تقريب لأعلى",ROUNDUP(P9,0),ROUND(P9,0))</f>
        <v/>
      </c>
      <c r="L9" s="34" t="n"/>
      <c r="M9" s="35">
        <f>L9-K9</f>
        <v/>
      </c>
      <c r="N9" s="36">
        <f>IF(K9=0,"",L9/K9)</f>
        <v/>
      </c>
      <c r="O9" s="37">
        <f>IF(K9=0,"لا ينطبق",IF(L9&gt;=K9,"مكتمل",IF(L9=0,"لا يوجد","عجز")))</f>
        <v/>
      </c>
      <c r="P9" s="38">
        <f>IF(CAP&lt;=$D$4,D9*CAP/$D$4,IF(CAP&gt;=$J$4,J9*CAP/$J$4,INDEX($D9:$J9,$D$3)+$E$3*(INDEX($D9:$J9,$D$3+1)-INDEX($D9:$J9,$D$3))))</f>
        <v/>
      </c>
      <c r="Q9" s="39" t="inlineStr"/>
    </row>
    <row r="10">
      <c r="A10" s="40" t="n"/>
      <c r="B10" s="40" t="n"/>
      <c r="C10" s="40" t="inlineStr">
        <is>
          <t>المجموع (محسوب من الجدول)</t>
        </is>
      </c>
      <c r="D10" s="41">
        <f>SUM(D5:D9)</f>
        <v/>
      </c>
      <c r="E10" s="41">
        <f>SUM(E5:E9)</f>
        <v/>
      </c>
      <c r="F10" s="41">
        <f>SUM(F5:F9)</f>
        <v/>
      </c>
      <c r="G10" s="41">
        <f>SUM(G5:G9)</f>
        <v/>
      </c>
      <c r="H10" s="41">
        <f>SUM(H5:H9)</f>
        <v/>
      </c>
      <c r="I10" s="41">
        <f>SUM(I5:I9)</f>
        <v/>
      </c>
      <c r="J10" s="41">
        <f>SUM(J5:J9)</f>
        <v/>
      </c>
      <c r="K10" s="41">
        <f>SUM(K5:K9)</f>
        <v/>
      </c>
      <c r="L10" s="42">
        <f>SUM(L5:L9)</f>
        <v/>
      </c>
      <c r="M10" s="41">
        <f>SUM(M5:M9)</f>
        <v/>
      </c>
      <c r="N10" s="43">
        <f>IF(K10=0,"",L10/K10)</f>
        <v/>
      </c>
      <c r="O10" s="42" t="n"/>
      <c r="P10" s="42">
        <f>SUM(P5:P9)</f>
        <v/>
      </c>
      <c r="Q10" s="42" t="n"/>
    </row>
    <row r="11">
      <c r="A11" s="44" t="n"/>
      <c r="B11" s="44" t="n"/>
      <c r="C11" s="44" t="inlineStr">
        <is>
          <t>المجموع المنشور في الدليل</t>
        </is>
      </c>
      <c r="D11" s="44" t="n">
        <v>35</v>
      </c>
      <c r="E11" s="44" t="n">
        <v>64</v>
      </c>
      <c r="F11" s="44" t="n">
        <v>86</v>
      </c>
      <c r="G11" s="44" t="n">
        <v>118</v>
      </c>
      <c r="H11" s="44" t="n">
        <v>165</v>
      </c>
      <c r="I11" s="44" t="n">
        <v>219</v>
      </c>
      <c r="J11" s="44" t="n">
        <v>275</v>
      </c>
    </row>
    <row r="12">
      <c r="A12" s="44" t="n"/>
      <c r="B12" s="44" t="n"/>
      <c r="C12" s="44" t="inlineStr">
        <is>
          <t>الفرق (محسوب − منشور)</t>
        </is>
      </c>
      <c r="D12" s="44">
        <f>D10-D11</f>
        <v/>
      </c>
      <c r="E12" s="44">
        <f>E10-E11</f>
        <v/>
      </c>
      <c r="F12" s="44">
        <f>F10-F11</f>
        <v/>
      </c>
      <c r="G12" s="44">
        <f>G10-G11</f>
        <v/>
      </c>
      <c r="H12" s="44">
        <f>H10-H11</f>
        <v/>
      </c>
      <c r="I12" s="44">
        <f>I10-I11</f>
        <v/>
      </c>
      <c r="J12" s="44">
        <f>J10-J11</f>
        <v/>
      </c>
    </row>
  </sheetData>
  <mergeCells count="2">
    <mergeCell ref="A2:Q2"/>
    <mergeCell ref="A1:Q1"/>
  </mergeCells>
  <conditionalFormatting sqref="O5:O9">
    <cfRule type="expression" priority="1" dxfId="0">
      <formula>OR(O5="عجز",O5="لا يوجد")</formula>
    </cfRule>
    <cfRule type="expression" priority="2" dxfId="1">
      <formula>O5="مكتمل"</formula>
    </cfRule>
  </conditionalFormatting>
  <pageMargins left="0.75" right="0.75" top="1" bottom="1" header="0.5" footer="0.5"/>
</worksheet>
</file>

<file path=xl/worksheets/sheet8.xml><?xml version="1.0" encoding="utf-8"?>
<worksheet xmlns="http://schemas.openxmlformats.org/spreadsheetml/2006/main">
  <sheetPr>
    <tabColor rgb="001F6F6B"/>
    <outlinePr summaryBelow="1" summaryRight="1"/>
    <pageSetUpPr/>
  </sheetPr>
  <dimension ref="A1:Q58"/>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12" customWidth="1" min="12" max="12"/>
    <col width="13" customWidth="1" min="13" max="13"/>
    <col width="10" customWidth="1" min="14" max="14"/>
    <col width="11" customWidth="1" min="15" max="15"/>
    <col width="11" customWidth="1" min="16" max="16"/>
    <col width="42" customWidth="1" min="17" max="17"/>
  </cols>
  <sheetData>
    <row r="1" ht="30" customHeight="1">
      <c r="A1" s="1" t="inlineStr">
        <is>
          <t>عام - الإداريون</t>
        </is>
      </c>
    </row>
    <row r="2" ht="20" customHeight="1">
      <c r="A2" s="2" t="inlineStr">
        <is>
          <t>الملحق (1) — الإداريون (صفحات 29-30)</t>
        </is>
      </c>
    </row>
    <row r="3">
      <c r="C3" s="25" t="inlineStr">
        <is>
          <t>معاملا الاستيفاء ◄</t>
        </is>
      </c>
      <c r="D3" s="26">
        <f>IFERROR(MATCH(CAP,$D$4:$J$4,1),1)</f>
        <v/>
      </c>
      <c r="E3" s="27">
        <f>IF(OR(CAP&lt;=$D$4,CAP&gt;=$J$4),0,(CAP-INDEX($D$4:$J$4,$D$3))/(INDEX($D$4:$J$4,$D$3+1)-INDEX($D$4:$J$4,$D$3)))</f>
        <v/>
      </c>
    </row>
    <row r="4" ht="42" customHeight="1">
      <c r="A4" s="28" t="inlineStr">
        <is>
          <t>م</t>
        </is>
      </c>
      <c r="B4" s="28" t="inlineStr">
        <is>
          <t>الفئة</t>
        </is>
      </c>
      <c r="C4" s="28" t="inlineStr">
        <is>
          <t>المسمى الوظيفي</t>
        </is>
      </c>
      <c r="D4" s="29" t="n">
        <v>50</v>
      </c>
      <c r="E4" s="29" t="n">
        <v>100</v>
      </c>
      <c r="F4" s="29" t="n">
        <v>150</v>
      </c>
      <c r="G4" s="29" t="n">
        <v>200</v>
      </c>
      <c r="H4" s="29" t="n">
        <v>300</v>
      </c>
      <c r="I4" s="29" t="n">
        <v>400</v>
      </c>
      <c r="J4" s="29" t="n">
        <v>500</v>
      </c>
      <c r="K4" s="28" t="inlineStr">
        <is>
          <t>الاحتياج للسعة المدخلة</t>
        </is>
      </c>
      <c r="L4" s="28" t="inlineStr">
        <is>
          <t>الموجود فعلياً</t>
        </is>
      </c>
      <c r="M4" s="28" t="inlineStr">
        <is>
          <t>الفجوة (+فائض / -عجز)</t>
        </is>
      </c>
      <c r="N4" s="28" t="inlineStr">
        <is>
          <t>نسبة التغطية</t>
        </is>
      </c>
      <c r="O4" s="28" t="inlineStr">
        <is>
          <t>الحالة</t>
        </is>
      </c>
      <c r="P4" s="28" t="inlineStr">
        <is>
          <t>القيمة قبل التقريب</t>
        </is>
      </c>
      <c r="Q4" s="28" t="inlineStr">
        <is>
          <t>ملاحظات</t>
        </is>
      </c>
    </row>
    <row r="5">
      <c r="A5" s="30" t="n">
        <v>1</v>
      </c>
      <c r="B5" s="31" t="inlineStr">
        <is>
          <t>إداري</t>
        </is>
      </c>
      <c r="C5" s="5" t="inlineStr">
        <is>
          <t>سكرتير</t>
        </is>
      </c>
      <c r="D5" s="32" t="n">
        <v>2</v>
      </c>
      <c r="E5" s="32" t="n">
        <v>4</v>
      </c>
      <c r="F5" s="32" t="n">
        <v>4</v>
      </c>
      <c r="G5" s="32" t="n">
        <v>8</v>
      </c>
      <c r="H5" s="32" t="n">
        <v>8</v>
      </c>
      <c r="I5" s="32" t="n">
        <v>12</v>
      </c>
      <c r="J5" s="32" t="n">
        <v>14</v>
      </c>
      <c r="K5" s="33">
        <f>IF(RMODE="تقريب لأعلى",ROUNDUP(P5,0),ROUND(P5,0))</f>
        <v/>
      </c>
      <c r="L5" s="34" t="n"/>
      <c r="M5" s="35">
        <f>L5-K5</f>
        <v/>
      </c>
      <c r="N5" s="36">
        <f>IF(K5=0,"",L5/K5)</f>
        <v/>
      </c>
      <c r="O5" s="37">
        <f>IF(K5=0,"لا ينطبق",IF(L5&gt;=K5,"مكتمل",IF(L5=0,"لا يوجد","عجز")))</f>
        <v/>
      </c>
      <c r="P5" s="38">
        <f>IF(CAP&lt;=$D$4,D5*CAP/$D$4,IF(CAP&gt;=$J$4,J5*CAP/$J$4,INDEX($D5:$J5,$D$3)+$E$3*(INDEX($D5:$J5,$D$3+1)-INDEX($D5:$J5,$D$3))))</f>
        <v/>
      </c>
      <c r="Q5" s="39" t="inlineStr"/>
    </row>
    <row r="6">
      <c r="A6" s="30" t="n">
        <v>2</v>
      </c>
      <c r="B6" s="31" t="inlineStr">
        <is>
          <t>إداري</t>
        </is>
      </c>
      <c r="C6" s="5" t="inlineStr">
        <is>
          <t>مندوب مشتريات</t>
        </is>
      </c>
      <c r="D6" s="32" t="n">
        <v>1</v>
      </c>
      <c r="E6" s="32" t="n">
        <v>2</v>
      </c>
      <c r="F6" s="32" t="n">
        <v>2</v>
      </c>
      <c r="G6" s="32" t="n">
        <v>2</v>
      </c>
      <c r="H6" s="32" t="n">
        <v>2</v>
      </c>
      <c r="I6" s="32" t="n">
        <v>3</v>
      </c>
      <c r="J6" s="32" t="n">
        <v>4</v>
      </c>
      <c r="K6" s="33">
        <f>IF(RMODE="تقريب لأعلى",ROUNDUP(P6,0),ROUND(P6,0))</f>
        <v/>
      </c>
      <c r="L6" s="34" t="n"/>
      <c r="M6" s="35">
        <f>L6-K6</f>
        <v/>
      </c>
      <c r="N6" s="36">
        <f>IF(K6=0,"",L6/K6)</f>
        <v/>
      </c>
      <c r="O6" s="37">
        <f>IF(K6=0,"لا ينطبق",IF(L6&gt;=K6,"مكتمل",IF(L6=0,"لا يوجد","عجز")))</f>
        <v/>
      </c>
      <c r="P6" s="38">
        <f>IF(CAP&lt;=$D$4,D6*CAP/$D$4,IF(CAP&gt;=$J$4,J6*CAP/$J$4,INDEX($D6:$J6,$D$3)+$E$3*(INDEX($D6:$J6,$D$3+1)-INDEX($D6:$J6,$D$3))))</f>
        <v/>
      </c>
      <c r="Q6" s="39" t="inlineStr"/>
    </row>
    <row r="7">
      <c r="A7" s="30" t="n">
        <v>3</v>
      </c>
      <c r="B7" s="31" t="inlineStr">
        <is>
          <t>إداري</t>
        </is>
      </c>
      <c r="C7" s="5" t="inlineStr">
        <is>
          <t>أمين صندوق</t>
        </is>
      </c>
      <c r="D7" s="32" t="n">
        <v>1</v>
      </c>
      <c r="E7" s="32" t="n">
        <v>1</v>
      </c>
      <c r="F7" s="32" t="n">
        <v>1</v>
      </c>
      <c r="G7" s="32" t="n">
        <v>1</v>
      </c>
      <c r="H7" s="32" t="n">
        <v>1</v>
      </c>
      <c r="I7" s="32" t="n">
        <v>1</v>
      </c>
      <c r="J7" s="32" t="n">
        <v>1</v>
      </c>
      <c r="K7" s="33">
        <f>IF(RMODE="تقريب لأعلى",ROUNDUP(P7,0),ROUND(P7,0))</f>
        <v/>
      </c>
      <c r="L7" s="34" t="n"/>
      <c r="M7" s="35">
        <f>L7-K7</f>
        <v/>
      </c>
      <c r="N7" s="36">
        <f>IF(K7=0,"",L7/K7)</f>
        <v/>
      </c>
      <c r="O7" s="37">
        <f>IF(K7=0,"لا ينطبق",IF(L7&gt;=K7,"مكتمل",IF(L7=0,"لا يوجد","عجز")))</f>
        <v/>
      </c>
      <c r="P7" s="38">
        <f>IF(CAP&lt;=$D$4,D7*CAP/$D$4,IF(CAP&gt;=$J$4,J7*CAP/$J$4,INDEX($D7:$J7,$D$3)+$E$3*(INDEX($D7:$J7,$D$3+1)-INDEX($D7:$J7,$D$3))))</f>
        <v/>
      </c>
      <c r="Q7" s="39" t="inlineStr"/>
    </row>
    <row r="8">
      <c r="A8" s="30" t="n">
        <v>4</v>
      </c>
      <c r="B8" s="31" t="inlineStr">
        <is>
          <t>إداري</t>
        </is>
      </c>
      <c r="C8" s="5" t="inlineStr">
        <is>
          <t>مساعد إداري *</t>
        </is>
      </c>
      <c r="D8" s="32" t="n">
        <v>23</v>
      </c>
      <c r="E8" s="32" t="n">
        <v>40</v>
      </c>
      <c r="F8" s="32" t="n">
        <v>46</v>
      </c>
      <c r="G8" s="32" t="n">
        <v>57</v>
      </c>
      <c r="H8" s="32" t="n">
        <v>61</v>
      </c>
      <c r="I8" s="32" t="n">
        <v>78</v>
      </c>
      <c r="J8" s="32" t="n">
        <v>90</v>
      </c>
      <c r="K8" s="33">
        <f>IF(RMODE="تقريب لأعلى",ROUNDUP(P8,0),ROUND(P8,0))</f>
        <v/>
      </c>
      <c r="L8" s="34" t="n"/>
      <c r="M8" s="35">
        <f>L8-K8</f>
        <v/>
      </c>
      <c r="N8" s="36">
        <f>IF(K8=0,"",L8/K8)</f>
        <v/>
      </c>
      <c r="O8" s="37">
        <f>IF(K8=0,"لا ينطبق",IF(L8&gt;=K8,"مكتمل",IF(L8=0,"لا يوجد","عجز")))</f>
        <v/>
      </c>
      <c r="P8" s="38">
        <f>IF(CAP&lt;=$D$4,D8*CAP/$D$4,IF(CAP&gt;=$J$4,J8*CAP/$J$4,INDEX($D8:$J8,$D$3)+$E$3*(INDEX($D8:$J8,$D$3+1)-INDEX($D8:$J8,$D$3))))</f>
        <v/>
      </c>
      <c r="Q8" s="39" t="inlineStr">
        <is>
          <t>* يشمل (كاتب، كاتب جناح، ومشغل حاسب آلي) — إيضاح 32</t>
        </is>
      </c>
    </row>
    <row r="9">
      <c r="A9" s="30" t="n">
        <v>5</v>
      </c>
      <c r="B9" s="31" t="inlineStr">
        <is>
          <t>إداري</t>
        </is>
      </c>
      <c r="C9" s="5" t="inlineStr">
        <is>
          <t>أمين مستودع</t>
        </is>
      </c>
      <c r="D9" s="32" t="n">
        <v>2</v>
      </c>
      <c r="E9" s="32" t="n">
        <v>3</v>
      </c>
      <c r="F9" s="32" t="n">
        <v>3</v>
      </c>
      <c r="G9" s="32" t="n">
        <v>4</v>
      </c>
      <c r="H9" s="32" t="n">
        <v>4</v>
      </c>
      <c r="I9" s="32" t="n">
        <v>8</v>
      </c>
      <c r="J9" s="32" t="n">
        <v>10</v>
      </c>
      <c r="K9" s="33">
        <f>IF(RMODE="تقريب لأعلى",ROUNDUP(P9,0),ROUND(P9,0))</f>
        <v/>
      </c>
      <c r="L9" s="34" t="n"/>
      <c r="M9" s="35">
        <f>L9-K9</f>
        <v/>
      </c>
      <c r="N9" s="36">
        <f>IF(K9=0,"",L9/K9)</f>
        <v/>
      </c>
      <c r="O9" s="37">
        <f>IF(K9=0,"لا ينطبق",IF(L9&gt;=K9,"مكتمل",IF(L9=0,"لا يوجد","عجز")))</f>
        <v/>
      </c>
      <c r="P9" s="38">
        <f>IF(CAP&lt;=$D$4,D9*CAP/$D$4,IF(CAP&gt;=$J$4,J9*CAP/$J$4,INDEX($D9:$J9,$D$3)+$E$3*(INDEX($D9:$J9,$D$3+1)-INDEX($D9:$J9,$D$3))))</f>
        <v/>
      </c>
      <c r="Q9" s="39" t="inlineStr"/>
    </row>
    <row r="10">
      <c r="A10" s="30" t="n">
        <v>6</v>
      </c>
      <c r="B10" s="31" t="inlineStr">
        <is>
          <t>إداري</t>
        </is>
      </c>
      <c r="C10" s="5" t="inlineStr">
        <is>
          <t>فني إحصاء طبي</t>
        </is>
      </c>
      <c r="D10" s="32" t="n">
        <v>2</v>
      </c>
      <c r="E10" s="32" t="n">
        <v>5</v>
      </c>
      <c r="F10" s="32" t="n">
        <v>5</v>
      </c>
      <c r="G10" s="32" t="n">
        <v>8</v>
      </c>
      <c r="H10" s="32" t="n">
        <v>8</v>
      </c>
      <c r="I10" s="32" t="n">
        <v>10</v>
      </c>
      <c r="J10" s="32" t="n">
        <v>12</v>
      </c>
      <c r="K10" s="33">
        <f>IF(RMODE="تقريب لأعلى",ROUNDUP(P10,0),ROUND(P10,0))</f>
        <v/>
      </c>
      <c r="L10" s="34" t="n"/>
      <c r="M10" s="35">
        <f>L10-K10</f>
        <v/>
      </c>
      <c r="N10" s="36">
        <f>IF(K10=0,"",L10/K10)</f>
        <v/>
      </c>
      <c r="O10" s="37">
        <f>IF(K10=0,"لا ينطبق",IF(L10&gt;=K10,"مكتمل",IF(L10=0,"لا يوجد","عجز")))</f>
        <v/>
      </c>
      <c r="P10" s="38">
        <f>IF(CAP&lt;=$D$4,D10*CAP/$D$4,IF(CAP&gt;=$J$4,J10*CAP/$J$4,INDEX($D10:$J10,$D$3)+$E$3*(INDEX($D10:$J10,$D$3+1)-INDEX($D10:$J10,$D$3))))</f>
        <v/>
      </c>
      <c r="Q10" s="39" t="inlineStr"/>
    </row>
    <row r="11">
      <c r="A11" s="30" t="n">
        <v>7</v>
      </c>
      <c r="B11" s="31" t="inlineStr">
        <is>
          <t>إداري</t>
        </is>
      </c>
      <c r="C11" s="5" t="inlineStr">
        <is>
          <t>مدير مالي</t>
        </is>
      </c>
      <c r="D11" s="32" t="n">
        <v>1</v>
      </c>
      <c r="E11" s="32" t="n">
        <v>1</v>
      </c>
      <c r="F11" s="32" t="n">
        <v>1</v>
      </c>
      <c r="G11" s="32" t="n">
        <v>1</v>
      </c>
      <c r="H11" s="32" t="n">
        <v>1</v>
      </c>
      <c r="I11" s="32" t="n">
        <v>1</v>
      </c>
      <c r="J11" s="32" t="n">
        <v>2</v>
      </c>
      <c r="K11" s="33">
        <f>IF(RMODE="تقريب لأعلى",ROUNDUP(P11,0),ROUND(P11,0))</f>
        <v/>
      </c>
      <c r="L11" s="34" t="n"/>
      <c r="M11" s="35">
        <f>L11-K11</f>
        <v/>
      </c>
      <c r="N11" s="36">
        <f>IF(K11=0,"",L11/K11)</f>
        <v/>
      </c>
      <c r="O11" s="37">
        <f>IF(K11=0,"لا ينطبق",IF(L11&gt;=K11,"مكتمل",IF(L11=0,"لا يوجد","عجز")))</f>
        <v/>
      </c>
      <c r="P11" s="38">
        <f>IF(CAP&lt;=$D$4,D11*CAP/$D$4,IF(CAP&gt;=$J$4,J11*CAP/$J$4,INDEX($D11:$J11,$D$3)+$E$3*(INDEX($D11:$J11,$D$3+1)-INDEX($D11:$J11,$D$3))))</f>
        <v/>
      </c>
      <c r="Q11" s="39" t="inlineStr"/>
    </row>
    <row r="12">
      <c r="A12" s="30" t="n">
        <v>8</v>
      </c>
      <c r="B12" s="31" t="inlineStr">
        <is>
          <t>إداري</t>
        </is>
      </c>
      <c r="C12" s="5" t="inlineStr">
        <is>
          <t>مدير حسابات</t>
        </is>
      </c>
      <c r="D12" s="32" t="n">
        <v>1</v>
      </c>
      <c r="E12" s="32" t="n">
        <v>1</v>
      </c>
      <c r="F12" s="32" t="n">
        <v>1</v>
      </c>
      <c r="G12" s="32" t="n">
        <v>1</v>
      </c>
      <c r="H12" s="32" t="n">
        <v>1</v>
      </c>
      <c r="I12" s="32" t="n">
        <v>2</v>
      </c>
      <c r="J12" s="32" t="n">
        <v>2</v>
      </c>
      <c r="K12" s="33">
        <f>IF(RMODE="تقريب لأعلى",ROUNDUP(P12,0),ROUND(P12,0))</f>
        <v/>
      </c>
      <c r="L12" s="34" t="n"/>
      <c r="M12" s="35">
        <f>L12-K12</f>
        <v/>
      </c>
      <c r="N12" s="36">
        <f>IF(K12=0,"",L12/K12)</f>
        <v/>
      </c>
      <c r="O12" s="37">
        <f>IF(K12=0,"لا ينطبق",IF(L12&gt;=K12,"مكتمل",IF(L12=0,"لا يوجد","عجز")))</f>
        <v/>
      </c>
      <c r="P12" s="38">
        <f>IF(CAP&lt;=$D$4,D12*CAP/$D$4,IF(CAP&gt;=$J$4,J12*CAP/$J$4,INDEX($D12:$J12,$D$3)+$E$3*(INDEX($D12:$J12,$D$3+1)-INDEX($D12:$J12,$D$3))))</f>
        <v/>
      </c>
      <c r="Q12" s="39" t="inlineStr"/>
    </row>
    <row r="13">
      <c r="A13" s="30" t="n">
        <v>9</v>
      </c>
      <c r="B13" s="31" t="inlineStr">
        <is>
          <t>إداري</t>
        </is>
      </c>
      <c r="C13" s="5" t="inlineStr">
        <is>
          <t>محاسب</t>
        </is>
      </c>
      <c r="D13" s="32" t="n">
        <v>1</v>
      </c>
      <c r="E13" s="32" t="n">
        <v>1</v>
      </c>
      <c r="F13" s="32" t="n">
        <v>1</v>
      </c>
      <c r="G13" s="32" t="n">
        <v>1</v>
      </c>
      <c r="H13" s="32" t="n">
        <v>1</v>
      </c>
      <c r="I13" s="32" t="n">
        <v>1</v>
      </c>
      <c r="J13" s="32" t="n">
        <v>1</v>
      </c>
      <c r="K13" s="33">
        <f>IF(RMODE="تقريب لأعلى",ROUNDUP(P13,0),ROUND(P13,0))</f>
        <v/>
      </c>
      <c r="L13" s="34" t="n"/>
      <c r="M13" s="35">
        <f>L13-K13</f>
        <v/>
      </c>
      <c r="N13" s="36">
        <f>IF(K13=0,"",L13/K13)</f>
        <v/>
      </c>
      <c r="O13" s="37">
        <f>IF(K13=0,"لا ينطبق",IF(L13&gt;=K13,"مكتمل",IF(L13=0,"لا يوجد","عجز")))</f>
        <v/>
      </c>
      <c r="P13" s="38">
        <f>IF(CAP&lt;=$D$4,D13*CAP/$D$4,IF(CAP&gt;=$J$4,J13*CAP/$J$4,INDEX($D13:$J13,$D$3)+$E$3*(INDEX($D13:$J13,$D$3+1)-INDEX($D13:$J13,$D$3))))</f>
        <v/>
      </c>
      <c r="Q13" s="39" t="inlineStr"/>
    </row>
    <row r="14">
      <c r="A14" s="30" t="n">
        <v>10</v>
      </c>
      <c r="B14" s="31" t="inlineStr">
        <is>
          <t>إداري</t>
        </is>
      </c>
      <c r="C14" s="5" t="inlineStr">
        <is>
          <t>محاسب مساعد</t>
        </is>
      </c>
      <c r="D14" s="32" t="n">
        <v>3</v>
      </c>
      <c r="E14" s="32" t="n">
        <v>6</v>
      </c>
      <c r="F14" s="32" t="n">
        <v>6</v>
      </c>
      <c r="G14" s="32" t="n">
        <v>10</v>
      </c>
      <c r="H14" s="32" t="n">
        <v>10</v>
      </c>
      <c r="I14" s="32" t="n">
        <v>12</v>
      </c>
      <c r="J14" s="32" t="n">
        <v>12</v>
      </c>
      <c r="K14" s="33">
        <f>IF(RMODE="تقريب لأعلى",ROUNDUP(P14,0),ROUND(P14,0))</f>
        <v/>
      </c>
      <c r="L14" s="34" t="n"/>
      <c r="M14" s="35">
        <f>L14-K14</f>
        <v/>
      </c>
      <c r="N14" s="36">
        <f>IF(K14=0,"",L14/K14)</f>
        <v/>
      </c>
      <c r="O14" s="37">
        <f>IF(K14=0,"لا ينطبق",IF(L14&gt;=K14,"مكتمل",IF(L14=0,"لا يوجد","عجز")))</f>
        <v/>
      </c>
      <c r="P14" s="38">
        <f>IF(CAP&lt;=$D$4,D14*CAP/$D$4,IF(CAP&gt;=$J$4,J14*CAP/$J$4,INDEX($D14:$J14,$D$3)+$E$3*(INDEX($D14:$J14,$D$3+1)-INDEX($D14:$J14,$D$3))))</f>
        <v/>
      </c>
      <c r="Q14" s="39" t="inlineStr"/>
    </row>
    <row r="15">
      <c r="A15" s="30" t="n">
        <v>11</v>
      </c>
      <c r="B15" s="31" t="inlineStr">
        <is>
          <t>إداري</t>
        </is>
      </c>
      <c r="C15" s="5" t="inlineStr">
        <is>
          <t>مساعد حسابات</t>
        </is>
      </c>
      <c r="D15" s="32" t="n">
        <v>1</v>
      </c>
      <c r="E15" s="32" t="n">
        <v>2</v>
      </c>
      <c r="F15" s="32" t="n">
        <v>2</v>
      </c>
      <c r="G15" s="32" t="n">
        <v>3</v>
      </c>
      <c r="H15" s="32" t="n">
        <v>3</v>
      </c>
      <c r="I15" s="32" t="n">
        <v>4</v>
      </c>
      <c r="J15" s="32" t="n">
        <v>4</v>
      </c>
      <c r="K15" s="33">
        <f>IF(RMODE="تقريب لأعلى",ROUNDUP(P15,0),ROUND(P15,0))</f>
        <v/>
      </c>
      <c r="L15" s="34" t="n"/>
      <c r="M15" s="35">
        <f>L15-K15</f>
        <v/>
      </c>
      <c r="N15" s="36">
        <f>IF(K15=0,"",L15/K15)</f>
        <v/>
      </c>
      <c r="O15" s="37">
        <f>IF(K15=0,"لا ينطبق",IF(L15&gt;=K15,"مكتمل",IF(L15=0,"لا يوجد","عجز")))</f>
        <v/>
      </c>
      <c r="P15" s="38">
        <f>IF(CAP&lt;=$D$4,D15*CAP/$D$4,IF(CAP&gt;=$J$4,J15*CAP/$J$4,INDEX($D15:$J15,$D$3)+$E$3*(INDEX($D15:$J15,$D$3+1)-INDEX($D15:$J15,$D$3))))</f>
        <v/>
      </c>
      <c r="Q15" s="39" t="inlineStr"/>
    </row>
    <row r="16">
      <c r="A16" s="30" t="n">
        <v>12</v>
      </c>
      <c r="B16" s="31" t="inlineStr">
        <is>
          <t>إداري</t>
        </is>
      </c>
      <c r="C16" s="5" t="inlineStr">
        <is>
          <t>أخصائي مشتريات</t>
        </is>
      </c>
      <c r="D16" s="32" t="n">
        <v>0</v>
      </c>
      <c r="E16" s="32" t="n">
        <v>1</v>
      </c>
      <c r="F16" s="32" t="n">
        <v>1</v>
      </c>
      <c r="G16" s="32" t="n">
        <v>1</v>
      </c>
      <c r="H16" s="32" t="n">
        <v>1</v>
      </c>
      <c r="I16" s="32" t="n">
        <v>3</v>
      </c>
      <c r="J16" s="32" t="n">
        <v>3</v>
      </c>
      <c r="K16" s="33">
        <f>IF(RMODE="تقريب لأعلى",ROUNDUP(P16,0),ROUND(P16,0))</f>
        <v/>
      </c>
      <c r="L16" s="34" t="n"/>
      <c r="M16" s="35">
        <f>L16-K16</f>
        <v/>
      </c>
      <c r="N16" s="36">
        <f>IF(K16=0,"",L16/K16)</f>
        <v/>
      </c>
      <c r="O16" s="37">
        <f>IF(K16=0,"لا ينطبق",IF(L16&gt;=K16,"مكتمل",IF(L16=0,"لا يوجد","عجز")))</f>
        <v/>
      </c>
      <c r="P16" s="38">
        <f>IF(CAP&lt;=$D$4,D16*CAP/$D$4,IF(CAP&gt;=$J$4,J16*CAP/$J$4,INDEX($D16:$J16,$D$3)+$E$3*(INDEX($D16:$J16,$D$3+1)-INDEX($D16:$J16,$D$3))))</f>
        <v/>
      </c>
      <c r="Q16" s="39" t="inlineStr"/>
    </row>
    <row r="17">
      <c r="A17" s="30" t="n">
        <v>13</v>
      </c>
      <c r="B17" s="31" t="inlineStr">
        <is>
          <t>إداري</t>
        </is>
      </c>
      <c r="C17" s="5" t="inlineStr">
        <is>
          <t>موظف صندوق محاسبة</t>
        </is>
      </c>
      <c r="D17" s="32" t="n">
        <v>1</v>
      </c>
      <c r="E17" s="32" t="n">
        <v>1</v>
      </c>
      <c r="F17" s="32" t="n">
        <v>1</v>
      </c>
      <c r="G17" s="32" t="n">
        <v>2</v>
      </c>
      <c r="H17" s="32" t="n">
        <v>2</v>
      </c>
      <c r="I17" s="32" t="n">
        <v>2</v>
      </c>
      <c r="J17" s="32" t="n">
        <v>3</v>
      </c>
      <c r="K17" s="33">
        <f>IF(RMODE="تقريب لأعلى",ROUNDUP(P17,0),ROUND(P17,0))</f>
        <v/>
      </c>
      <c r="L17" s="34" t="n"/>
      <c r="M17" s="35">
        <f>L17-K17</f>
        <v/>
      </c>
      <c r="N17" s="36">
        <f>IF(K17=0,"",L17/K17)</f>
        <v/>
      </c>
      <c r="O17" s="37">
        <f>IF(K17=0,"لا ينطبق",IF(L17&gt;=K17,"مكتمل",IF(L17=0,"لا يوجد","عجز")))</f>
        <v/>
      </c>
      <c r="P17" s="38">
        <f>IF(CAP&lt;=$D$4,D17*CAP/$D$4,IF(CAP&gt;=$J$4,J17*CAP/$J$4,INDEX($D17:$J17,$D$3)+$E$3*(INDEX($D17:$J17,$D$3+1)-INDEX($D17:$J17,$D$3))))</f>
        <v/>
      </c>
      <c r="Q17" s="39" t="inlineStr"/>
    </row>
    <row r="18">
      <c r="A18" s="30" t="n">
        <v>14</v>
      </c>
      <c r="B18" s="31" t="inlineStr">
        <is>
          <t>إداري</t>
        </is>
      </c>
      <c r="C18" s="5" t="inlineStr">
        <is>
          <t>أخصائي موازنة مالية</t>
        </is>
      </c>
      <c r="D18" s="32" t="n">
        <v>0</v>
      </c>
      <c r="E18" s="32" t="n">
        <v>1</v>
      </c>
      <c r="F18" s="32" t="n">
        <v>1</v>
      </c>
      <c r="G18" s="32" t="n">
        <v>2</v>
      </c>
      <c r="H18" s="32" t="n">
        <v>2</v>
      </c>
      <c r="I18" s="32" t="n">
        <v>2</v>
      </c>
      <c r="J18" s="32" t="n">
        <v>2</v>
      </c>
      <c r="K18" s="33">
        <f>IF(RMODE="تقريب لأعلى",ROUNDUP(P18,0),ROUND(P18,0))</f>
        <v/>
      </c>
      <c r="L18" s="34" t="n"/>
      <c r="M18" s="35">
        <f>L18-K18</f>
        <v/>
      </c>
      <c r="N18" s="36">
        <f>IF(K18=0,"",L18/K18)</f>
        <v/>
      </c>
      <c r="O18" s="37">
        <f>IF(K18=0,"لا ينطبق",IF(L18&gt;=K18,"مكتمل",IF(L18=0,"لا يوجد","عجز")))</f>
        <v/>
      </c>
      <c r="P18" s="38">
        <f>IF(CAP&lt;=$D$4,D18*CAP/$D$4,IF(CAP&gt;=$J$4,J18*CAP/$J$4,INDEX($D18:$J18,$D$3)+$E$3*(INDEX($D18:$J18,$D$3+1)-INDEX($D18:$J18,$D$3))))</f>
        <v/>
      </c>
      <c r="Q18" s="39" t="inlineStr"/>
    </row>
    <row r="19">
      <c r="A19" s="30" t="n">
        <v>15</v>
      </c>
      <c r="B19" s="31" t="inlineStr">
        <is>
          <t>إداري</t>
        </is>
      </c>
      <c r="C19" s="5" t="inlineStr">
        <is>
          <t>أخصائي تخطيط مالي</t>
        </is>
      </c>
      <c r="D19" s="32" t="n">
        <v>0</v>
      </c>
      <c r="E19" s="32" t="n">
        <v>1</v>
      </c>
      <c r="F19" s="32" t="n">
        <v>1</v>
      </c>
      <c r="G19" s="32" t="n">
        <v>1</v>
      </c>
      <c r="H19" s="32" t="n">
        <v>1</v>
      </c>
      <c r="I19" s="32" t="n">
        <v>2</v>
      </c>
      <c r="J19" s="32" t="n">
        <v>2</v>
      </c>
      <c r="K19" s="33">
        <f>IF(RMODE="تقريب لأعلى",ROUNDUP(P19,0),ROUND(P19,0))</f>
        <v/>
      </c>
      <c r="L19" s="34" t="n"/>
      <c r="M19" s="35">
        <f>L19-K19</f>
        <v/>
      </c>
      <c r="N19" s="36">
        <f>IF(K19=0,"",L19/K19)</f>
        <v/>
      </c>
      <c r="O19" s="37">
        <f>IF(K19=0,"لا ينطبق",IF(L19&gt;=K19,"مكتمل",IF(L19=0,"لا يوجد","عجز")))</f>
        <v/>
      </c>
      <c r="P19" s="38">
        <f>IF(CAP&lt;=$D$4,D19*CAP/$D$4,IF(CAP&gt;=$J$4,J19*CAP/$J$4,INDEX($D19:$J19,$D$3)+$E$3*(INDEX($D19:$J19,$D$3+1)-INDEX($D19:$J19,$D$3))))</f>
        <v/>
      </c>
      <c r="Q19" s="39" t="inlineStr"/>
    </row>
    <row r="20">
      <c r="A20" s="30" t="n">
        <v>16</v>
      </c>
      <c r="B20" s="31" t="inlineStr">
        <is>
          <t>إداري</t>
        </is>
      </c>
      <c r="C20" s="5" t="inlineStr">
        <is>
          <t>أخصائي إيرادات حكومية</t>
        </is>
      </c>
      <c r="D20" s="32" t="n">
        <v>0</v>
      </c>
      <c r="E20" s="32" t="n">
        <v>1</v>
      </c>
      <c r="F20" s="32" t="n">
        <v>1</v>
      </c>
      <c r="G20" s="32" t="n">
        <v>1</v>
      </c>
      <c r="H20" s="32" t="n">
        <v>2</v>
      </c>
      <c r="I20" s="32" t="n">
        <v>2</v>
      </c>
      <c r="J20" s="32" t="n">
        <v>2</v>
      </c>
      <c r="K20" s="33">
        <f>IF(RMODE="تقريب لأعلى",ROUNDUP(P20,0),ROUND(P20,0))</f>
        <v/>
      </c>
      <c r="L20" s="34" t="n"/>
      <c r="M20" s="35">
        <f>L20-K20</f>
        <v/>
      </c>
      <c r="N20" s="36">
        <f>IF(K20=0,"",L20/K20)</f>
        <v/>
      </c>
      <c r="O20" s="37">
        <f>IF(K20=0,"لا ينطبق",IF(L20&gt;=K20,"مكتمل",IF(L20=0,"لا يوجد","عجز")))</f>
        <v/>
      </c>
      <c r="P20" s="38">
        <f>IF(CAP&lt;=$D$4,D20*CAP/$D$4,IF(CAP&gt;=$J$4,J20*CAP/$J$4,INDEX($D20:$J20,$D$3)+$E$3*(INDEX($D20:$J20,$D$3+1)-INDEX($D20:$J20,$D$3))))</f>
        <v/>
      </c>
      <c r="Q20" s="39" t="inlineStr"/>
    </row>
    <row r="21">
      <c r="A21" s="30" t="n">
        <v>17</v>
      </c>
      <c r="B21" s="31" t="inlineStr">
        <is>
          <t>إداري</t>
        </is>
      </c>
      <c r="C21" s="5" t="inlineStr">
        <is>
          <t>أخصائي إداري</t>
        </is>
      </c>
      <c r="D21" s="32" t="n">
        <v>1</v>
      </c>
      <c r="E21" s="32" t="n">
        <v>1</v>
      </c>
      <c r="F21" s="32" t="n">
        <v>1</v>
      </c>
      <c r="G21" s="32" t="n">
        <v>2</v>
      </c>
      <c r="H21" s="32" t="n">
        <v>2</v>
      </c>
      <c r="I21" s="32" t="n">
        <v>2</v>
      </c>
      <c r="J21" s="32" t="n">
        <v>3</v>
      </c>
      <c r="K21" s="33">
        <f>IF(RMODE="تقريب لأعلى",ROUNDUP(P21,0),ROUND(P21,0))</f>
        <v/>
      </c>
      <c r="L21" s="34" t="n"/>
      <c r="M21" s="35">
        <f>L21-K21</f>
        <v/>
      </c>
      <c r="N21" s="36">
        <f>IF(K21=0,"",L21/K21)</f>
        <v/>
      </c>
      <c r="O21" s="37">
        <f>IF(K21=0,"لا ينطبق",IF(L21&gt;=K21,"مكتمل",IF(L21=0,"لا يوجد","عجز")))</f>
        <v/>
      </c>
      <c r="P21" s="38">
        <f>IF(CAP&lt;=$D$4,D21*CAP/$D$4,IF(CAP&gt;=$J$4,J21*CAP/$J$4,INDEX($D21:$J21,$D$3)+$E$3*(INDEX($D21:$J21,$D$3+1)-INDEX($D21:$J21,$D$3))))</f>
        <v/>
      </c>
      <c r="Q21" s="39" t="inlineStr"/>
    </row>
    <row r="22">
      <c r="A22" s="30" t="n">
        <v>18</v>
      </c>
      <c r="B22" s="31" t="inlineStr">
        <is>
          <t>إداري</t>
        </is>
      </c>
      <c r="C22" s="5" t="inlineStr">
        <is>
          <t>مرشد ديني</t>
        </is>
      </c>
      <c r="D22" s="32" t="n">
        <v>1</v>
      </c>
      <c r="E22" s="32" t="n">
        <v>2</v>
      </c>
      <c r="F22" s="32" t="n">
        <v>3</v>
      </c>
      <c r="G22" s="32" t="n">
        <v>3</v>
      </c>
      <c r="H22" s="32" t="n">
        <v>4</v>
      </c>
      <c r="I22" s="32" t="n">
        <v>5</v>
      </c>
      <c r="J22" s="32" t="n">
        <v>6</v>
      </c>
      <c r="K22" s="33">
        <f>IF(RMODE="تقريب لأعلى",ROUNDUP(P22,0),ROUND(P22,0))</f>
        <v/>
      </c>
      <c r="L22" s="34" t="n"/>
      <c r="M22" s="35">
        <f>L22-K22</f>
        <v/>
      </c>
      <c r="N22" s="36">
        <f>IF(K22=0,"",L22/K22)</f>
        <v/>
      </c>
      <c r="O22" s="37">
        <f>IF(K22=0,"لا ينطبق",IF(L22&gt;=K22,"مكتمل",IF(L22=0,"لا يوجد","عجز")))</f>
        <v/>
      </c>
      <c r="P22" s="38">
        <f>IF(CAP&lt;=$D$4,D22*CAP/$D$4,IF(CAP&gt;=$J$4,J22*CAP/$J$4,INDEX($D22:$J22,$D$3)+$E$3*(INDEX($D22:$J22,$D$3+1)-INDEX($D22:$J22,$D$3))))</f>
        <v/>
      </c>
      <c r="Q22" s="39" t="inlineStr"/>
    </row>
    <row r="23">
      <c r="A23" s="30" t="n">
        <v>19</v>
      </c>
      <c r="B23" s="31" t="inlineStr">
        <is>
          <t>إداري</t>
        </is>
      </c>
      <c r="C23" s="5" t="inlineStr">
        <is>
          <t>مرشد ديني أول</t>
        </is>
      </c>
      <c r="D23" s="32" t="n">
        <v>0</v>
      </c>
      <c r="E23" s="32" t="n">
        <v>1</v>
      </c>
      <c r="F23" s="32" t="n">
        <v>1</v>
      </c>
      <c r="G23" s="32" t="n">
        <v>2</v>
      </c>
      <c r="H23" s="32" t="n">
        <v>2</v>
      </c>
      <c r="I23" s="32" t="n">
        <v>3</v>
      </c>
      <c r="J23" s="32" t="n">
        <v>3</v>
      </c>
      <c r="K23" s="33">
        <f>IF(RMODE="تقريب لأعلى",ROUNDUP(P23,0),ROUND(P23,0))</f>
        <v/>
      </c>
      <c r="L23" s="34" t="n"/>
      <c r="M23" s="35">
        <f>L23-K23</f>
        <v/>
      </c>
      <c r="N23" s="36">
        <f>IF(K23=0,"",L23/K23)</f>
        <v/>
      </c>
      <c r="O23" s="37">
        <f>IF(K23=0,"لا ينطبق",IF(L23&gt;=K23,"مكتمل",IF(L23=0,"لا يوجد","عجز")))</f>
        <v/>
      </c>
      <c r="P23" s="38">
        <f>IF(CAP&lt;=$D$4,D23*CAP/$D$4,IF(CAP&gt;=$J$4,J23*CAP/$J$4,INDEX($D23:$J23,$D$3)+$E$3*(INDEX($D23:$J23,$D$3+1)-INDEX($D23:$J23,$D$3))))</f>
        <v/>
      </c>
      <c r="Q23" s="39" t="inlineStr"/>
    </row>
    <row r="24">
      <c r="A24" s="30" t="n">
        <v>20</v>
      </c>
      <c r="B24" s="31" t="inlineStr">
        <is>
          <t>إداري</t>
        </is>
      </c>
      <c r="C24" s="5" t="inlineStr">
        <is>
          <t>كبير المرشدين الدينيين</t>
        </is>
      </c>
      <c r="D24" s="32" t="n">
        <v>0</v>
      </c>
      <c r="E24" s="32" t="n">
        <v>0</v>
      </c>
      <c r="F24" s="32" t="n">
        <v>0</v>
      </c>
      <c r="G24" s="32" t="n">
        <v>1</v>
      </c>
      <c r="H24" s="32" t="n">
        <v>1</v>
      </c>
      <c r="I24" s="32" t="n">
        <v>1</v>
      </c>
      <c r="J24" s="32" t="n">
        <v>2</v>
      </c>
      <c r="K24" s="33">
        <f>IF(RMODE="تقريب لأعلى",ROUNDUP(P24,0),ROUND(P24,0))</f>
        <v/>
      </c>
      <c r="L24" s="34" t="n"/>
      <c r="M24" s="35">
        <f>L24-K24</f>
        <v/>
      </c>
      <c r="N24" s="36">
        <f>IF(K24=0,"",L24/K24)</f>
        <v/>
      </c>
      <c r="O24" s="37">
        <f>IF(K24=0,"لا ينطبق",IF(L24&gt;=K24,"مكتمل",IF(L24=0,"لا يوجد","عجز")))</f>
        <v/>
      </c>
      <c r="P24" s="38">
        <f>IF(CAP&lt;=$D$4,D24*CAP/$D$4,IF(CAP&gt;=$J$4,J24*CAP/$J$4,INDEX($D24:$J24,$D$3)+$E$3*(INDEX($D24:$J24,$D$3+1)-INDEX($D24:$J24,$D$3))))</f>
        <v/>
      </c>
      <c r="Q24" s="39" t="inlineStr"/>
    </row>
    <row r="25">
      <c r="A25" s="30" t="n">
        <v>21</v>
      </c>
      <c r="B25" s="31" t="inlineStr">
        <is>
          <t>إداري</t>
        </is>
      </c>
      <c r="C25" s="5" t="inlineStr">
        <is>
          <t>أخصائي عمليات الموارد البشرية</t>
        </is>
      </c>
      <c r="D25" s="32" t="n">
        <v>4</v>
      </c>
      <c r="E25" s="32" t="n">
        <v>5</v>
      </c>
      <c r="F25" s="32" t="n">
        <v>5</v>
      </c>
      <c r="G25" s="32" t="n">
        <v>7</v>
      </c>
      <c r="H25" s="32" t="n">
        <v>7</v>
      </c>
      <c r="I25" s="32" t="n">
        <v>10</v>
      </c>
      <c r="J25" s="32" t="n">
        <v>12</v>
      </c>
      <c r="K25" s="33">
        <f>IF(RMODE="تقريب لأعلى",ROUNDUP(P25,0),ROUND(P25,0))</f>
        <v/>
      </c>
      <c r="L25" s="34" t="n"/>
      <c r="M25" s="35">
        <f>L25-K25</f>
        <v/>
      </c>
      <c r="N25" s="36">
        <f>IF(K25=0,"",L25/K25)</f>
        <v/>
      </c>
      <c r="O25" s="37">
        <f>IF(K25=0,"لا ينطبق",IF(L25&gt;=K25,"مكتمل",IF(L25=0,"لا يوجد","عجز")))</f>
        <v/>
      </c>
      <c r="P25" s="38">
        <f>IF(CAP&lt;=$D$4,D25*CAP/$D$4,IF(CAP&gt;=$J$4,J25*CAP/$J$4,INDEX($D25:$J25,$D$3)+$E$3*(INDEX($D25:$J25,$D$3+1)-INDEX($D25:$J25,$D$3))))</f>
        <v/>
      </c>
      <c r="Q25" s="39" t="inlineStr"/>
    </row>
    <row r="26">
      <c r="A26" s="30" t="n">
        <v>22</v>
      </c>
      <c r="B26" s="31" t="inlineStr">
        <is>
          <t>إداري</t>
        </is>
      </c>
      <c r="C26" s="5" t="inlineStr">
        <is>
          <t>مشرف مسكن</t>
        </is>
      </c>
      <c r="D26" s="32" t="n">
        <v>1</v>
      </c>
      <c r="E26" s="32" t="n">
        <v>2</v>
      </c>
      <c r="F26" s="32" t="n">
        <v>2</v>
      </c>
      <c r="G26" s="32" t="n">
        <v>2</v>
      </c>
      <c r="H26" s="32" t="n">
        <v>2</v>
      </c>
      <c r="I26" s="32" t="n">
        <v>2</v>
      </c>
      <c r="J26" s="32" t="n">
        <v>2</v>
      </c>
      <c r="K26" s="33">
        <f>IF(RMODE="تقريب لأعلى",ROUNDUP(P26,0),ROUND(P26,0))</f>
        <v/>
      </c>
      <c r="L26" s="34" t="n"/>
      <c r="M26" s="35">
        <f>L26-K26</f>
        <v/>
      </c>
      <c r="N26" s="36">
        <f>IF(K26=0,"",L26/K26)</f>
        <v/>
      </c>
      <c r="O26" s="37">
        <f>IF(K26=0,"لا ينطبق",IF(L26&gt;=K26,"مكتمل",IF(L26=0,"لا يوجد","عجز")))</f>
        <v/>
      </c>
      <c r="P26" s="38">
        <f>IF(CAP&lt;=$D$4,D26*CAP/$D$4,IF(CAP&gt;=$J$4,J26*CAP/$J$4,INDEX($D26:$J26,$D$3)+$E$3*(INDEX($D26:$J26,$D$3+1)-INDEX($D26:$J26,$D$3))))</f>
        <v/>
      </c>
      <c r="Q26" s="39" t="inlineStr"/>
    </row>
    <row r="27">
      <c r="A27" s="30" t="n">
        <v>23</v>
      </c>
      <c r="B27" s="31" t="inlineStr">
        <is>
          <t>إداري</t>
        </is>
      </c>
      <c r="C27" s="5" t="inlineStr">
        <is>
          <t>مهندس كهربائي</t>
        </is>
      </c>
      <c r="D27" s="32" t="n">
        <v>1</v>
      </c>
      <c r="E27" s="32" t="n">
        <v>2</v>
      </c>
      <c r="F27" s="32" t="n">
        <v>2</v>
      </c>
      <c r="G27" s="32" t="n">
        <v>3</v>
      </c>
      <c r="H27" s="32" t="n">
        <v>5</v>
      </c>
      <c r="I27" s="32" t="n">
        <v>5</v>
      </c>
      <c r="J27" s="32" t="n">
        <v>5</v>
      </c>
      <c r="K27" s="33">
        <f>IF(RMODE="تقريب لأعلى",ROUNDUP(P27,0),ROUND(P27,0))</f>
        <v/>
      </c>
      <c r="L27" s="34" t="n"/>
      <c r="M27" s="35">
        <f>L27-K27</f>
        <v/>
      </c>
      <c r="N27" s="36">
        <f>IF(K27=0,"",L27/K27)</f>
        <v/>
      </c>
      <c r="O27" s="37">
        <f>IF(K27=0,"لا ينطبق",IF(L27&gt;=K27,"مكتمل",IF(L27=0,"لا يوجد","عجز")))</f>
        <v/>
      </c>
      <c r="P27" s="38">
        <f>IF(CAP&lt;=$D$4,D27*CAP/$D$4,IF(CAP&gt;=$J$4,J27*CAP/$J$4,INDEX($D27:$J27,$D$3)+$E$3*(INDEX($D27:$J27,$D$3+1)-INDEX($D27:$J27,$D$3))))</f>
        <v/>
      </c>
      <c r="Q27" s="39" t="inlineStr"/>
    </row>
    <row r="28">
      <c r="A28" s="30" t="n">
        <v>24</v>
      </c>
      <c r="B28" s="31" t="inlineStr">
        <is>
          <t>إداري</t>
        </is>
      </c>
      <c r="C28" s="5" t="inlineStr">
        <is>
          <t>مهندس ميكانيكي</t>
        </is>
      </c>
      <c r="D28" s="32" t="n">
        <v>2</v>
      </c>
      <c r="E28" s="32" t="n">
        <v>2</v>
      </c>
      <c r="F28" s="32" t="n">
        <v>2</v>
      </c>
      <c r="G28" s="32" t="n">
        <v>3</v>
      </c>
      <c r="H28" s="32" t="n">
        <v>6</v>
      </c>
      <c r="I28" s="32" t="n">
        <v>6</v>
      </c>
      <c r="J28" s="32" t="n">
        <v>6</v>
      </c>
      <c r="K28" s="33">
        <f>IF(RMODE="تقريب لأعلى",ROUNDUP(P28,0),ROUND(P28,0))</f>
        <v/>
      </c>
      <c r="L28" s="34" t="n"/>
      <c r="M28" s="35">
        <f>L28-K28</f>
        <v/>
      </c>
      <c r="N28" s="36">
        <f>IF(K28=0,"",L28/K28)</f>
        <v/>
      </c>
      <c r="O28" s="37">
        <f>IF(K28=0,"لا ينطبق",IF(L28&gt;=K28,"مكتمل",IF(L28=0,"لا يوجد","عجز")))</f>
        <v/>
      </c>
      <c r="P28" s="38">
        <f>IF(CAP&lt;=$D$4,D28*CAP/$D$4,IF(CAP&gt;=$J$4,J28*CAP/$J$4,INDEX($D28:$J28,$D$3)+$E$3*(INDEX($D28:$J28,$D$3+1)-INDEX($D28:$J28,$D$3))))</f>
        <v/>
      </c>
      <c r="Q28" s="39" t="inlineStr"/>
    </row>
    <row r="29">
      <c r="A29" s="30" t="n">
        <v>25</v>
      </c>
      <c r="B29" s="31" t="inlineStr">
        <is>
          <t>إداري</t>
        </is>
      </c>
      <c r="C29" s="5" t="inlineStr">
        <is>
          <t>مهندس مدني</t>
        </is>
      </c>
      <c r="D29" s="32" t="n">
        <v>0</v>
      </c>
      <c r="E29" s="32" t="n">
        <v>1</v>
      </c>
      <c r="F29" s="32" t="n">
        <v>1</v>
      </c>
      <c r="G29" s="32" t="n">
        <v>1</v>
      </c>
      <c r="H29" s="32" t="n">
        <v>1</v>
      </c>
      <c r="I29" s="32" t="n">
        <v>1</v>
      </c>
      <c r="J29" s="32" t="n">
        <v>1</v>
      </c>
      <c r="K29" s="33">
        <f>IF(RMODE="تقريب لأعلى",ROUNDUP(P29,0),ROUND(P29,0))</f>
        <v/>
      </c>
      <c r="L29" s="34" t="n"/>
      <c r="M29" s="35">
        <f>L29-K29</f>
        <v/>
      </c>
      <c r="N29" s="36">
        <f>IF(K29=0,"",L29/K29)</f>
        <v/>
      </c>
      <c r="O29" s="37">
        <f>IF(K29=0,"لا ينطبق",IF(L29&gt;=K29,"مكتمل",IF(L29=0,"لا يوجد","عجز")))</f>
        <v/>
      </c>
      <c r="P29" s="38">
        <f>IF(CAP&lt;=$D$4,D29*CAP/$D$4,IF(CAP&gt;=$J$4,J29*CAP/$J$4,INDEX($D29:$J29,$D$3)+$E$3*(INDEX($D29:$J29,$D$3+1)-INDEX($D29:$J29,$D$3))))</f>
        <v/>
      </c>
      <c r="Q29" s="39" t="inlineStr"/>
    </row>
    <row r="30">
      <c r="A30" s="30" t="n">
        <v>26</v>
      </c>
      <c r="B30" s="31" t="inlineStr">
        <is>
          <t>إداري</t>
        </is>
      </c>
      <c r="C30" s="5" t="inlineStr">
        <is>
          <t>موظف استقبال بلاغات</t>
        </is>
      </c>
      <c r="D30" s="32" t="n">
        <v>4</v>
      </c>
      <c r="E30" s="32" t="n">
        <v>4</v>
      </c>
      <c r="F30" s="32" t="n">
        <v>6</v>
      </c>
      <c r="G30" s="32" t="n">
        <v>6</v>
      </c>
      <c r="H30" s="32" t="n">
        <v>8</v>
      </c>
      <c r="I30" s="32" t="n">
        <v>10</v>
      </c>
      <c r="J30" s="32" t="n">
        <v>10</v>
      </c>
      <c r="K30" s="33">
        <f>IF(RMODE="تقريب لأعلى",ROUNDUP(P30,0),ROUND(P30,0))</f>
        <v/>
      </c>
      <c r="L30" s="34" t="n"/>
      <c r="M30" s="35">
        <f>L30-K30</f>
        <v/>
      </c>
      <c r="N30" s="36">
        <f>IF(K30=0,"",L30/K30)</f>
        <v/>
      </c>
      <c r="O30" s="37">
        <f>IF(K30=0,"لا ينطبق",IF(L30&gt;=K30,"مكتمل",IF(L30=0,"لا يوجد","عجز")))</f>
        <v/>
      </c>
      <c r="P30" s="38">
        <f>IF(CAP&lt;=$D$4,D30*CAP/$D$4,IF(CAP&gt;=$J$4,J30*CAP/$J$4,INDEX($D30:$J30,$D$3)+$E$3*(INDEX($D30:$J30,$D$3+1)-INDEX($D30:$J30,$D$3))))</f>
        <v/>
      </c>
      <c r="Q30" s="39" t="inlineStr"/>
    </row>
    <row r="31">
      <c r="A31" s="30" t="n">
        <v>27</v>
      </c>
      <c r="B31" s="31" t="inlineStr">
        <is>
          <t>إداري</t>
        </is>
      </c>
      <c r="C31" s="5" t="inlineStr">
        <is>
          <t>مشرف صيانة</t>
        </is>
      </c>
      <c r="D31" s="32" t="n">
        <v>2</v>
      </c>
      <c r="E31" s="32" t="n">
        <v>2</v>
      </c>
      <c r="F31" s="32" t="n">
        <v>3</v>
      </c>
      <c r="G31" s="32" t="n">
        <v>5</v>
      </c>
      <c r="H31" s="32" t="n">
        <v>6</v>
      </c>
      <c r="I31" s="32" t="n">
        <v>6</v>
      </c>
      <c r="J31" s="32" t="n">
        <v>9</v>
      </c>
      <c r="K31" s="33">
        <f>IF(RMODE="تقريب لأعلى",ROUNDUP(P31,0),ROUND(P31,0))</f>
        <v/>
      </c>
      <c r="L31" s="34" t="n"/>
      <c r="M31" s="35">
        <f>L31-K31</f>
        <v/>
      </c>
      <c r="N31" s="36">
        <f>IF(K31=0,"",L31/K31)</f>
        <v/>
      </c>
      <c r="O31" s="37">
        <f>IF(K31=0,"لا ينطبق",IF(L31&gt;=K31,"مكتمل",IF(L31=0,"لا يوجد","عجز")))</f>
        <v/>
      </c>
      <c r="P31" s="38">
        <f>IF(CAP&lt;=$D$4,D31*CAP/$D$4,IF(CAP&gt;=$J$4,J31*CAP/$J$4,INDEX($D31:$J31,$D$3)+$E$3*(INDEX($D31:$J31,$D$3+1)-INDEX($D31:$J31,$D$3))))</f>
        <v/>
      </c>
      <c r="Q31" s="39" t="inlineStr"/>
    </row>
    <row r="32">
      <c r="A32" s="30" t="n">
        <v>28</v>
      </c>
      <c r="B32" s="31" t="inlineStr">
        <is>
          <t>إداري</t>
        </is>
      </c>
      <c r="C32" s="5" t="inlineStr">
        <is>
          <t>إداري</t>
        </is>
      </c>
      <c r="D32" s="32" t="n">
        <v>1</v>
      </c>
      <c r="E32" s="32" t="n">
        <v>2</v>
      </c>
      <c r="F32" s="32" t="n">
        <v>2</v>
      </c>
      <c r="G32" s="32" t="n">
        <v>5</v>
      </c>
      <c r="H32" s="32" t="n">
        <v>5</v>
      </c>
      <c r="I32" s="32" t="n">
        <v>6</v>
      </c>
      <c r="J32" s="32" t="n">
        <v>6</v>
      </c>
      <c r="K32" s="33">
        <f>IF(RMODE="تقريب لأعلى",ROUNDUP(P32,0),ROUND(P32,0))</f>
        <v/>
      </c>
      <c r="L32" s="34" t="n"/>
      <c r="M32" s="35">
        <f>L32-K32</f>
        <v/>
      </c>
      <c r="N32" s="36">
        <f>IF(K32=0,"",L32/K32)</f>
        <v/>
      </c>
      <c r="O32" s="37">
        <f>IF(K32=0,"لا ينطبق",IF(L32&gt;=K32,"مكتمل",IF(L32=0,"لا يوجد","عجز")))</f>
        <v/>
      </c>
      <c r="P32" s="38">
        <f>IF(CAP&lt;=$D$4,D32*CAP/$D$4,IF(CAP&gt;=$J$4,J32*CAP/$J$4,INDEX($D32:$J32,$D$3)+$E$3*(INDEX($D32:$J32,$D$3+1)-INDEX($D32:$J32,$D$3))))</f>
        <v/>
      </c>
      <c r="Q32" s="39" t="inlineStr"/>
    </row>
    <row r="33">
      <c r="A33" s="30" t="n">
        <v>29</v>
      </c>
      <c r="B33" s="31" t="inlineStr">
        <is>
          <t>إداري</t>
        </is>
      </c>
      <c r="C33" s="5" t="inlineStr">
        <is>
          <t>مهندس معماري</t>
        </is>
      </c>
      <c r="D33" s="32" t="n">
        <v>0</v>
      </c>
      <c r="E33" s="32" t="n">
        <v>0</v>
      </c>
      <c r="F33" s="32" t="n">
        <v>0</v>
      </c>
      <c r="G33" s="32" t="n">
        <v>0</v>
      </c>
      <c r="H33" s="32" t="n">
        <v>1</v>
      </c>
      <c r="I33" s="32" t="n">
        <v>1</v>
      </c>
      <c r="J33" s="32" t="n">
        <v>1</v>
      </c>
      <c r="K33" s="33">
        <f>IF(RMODE="تقريب لأعلى",ROUNDUP(P33,0),ROUND(P33,0))</f>
        <v/>
      </c>
      <c r="L33" s="34" t="n"/>
      <c r="M33" s="35">
        <f>L33-K33</f>
        <v/>
      </c>
      <c r="N33" s="36">
        <f>IF(K33=0,"",L33/K33)</f>
        <v/>
      </c>
      <c r="O33" s="37">
        <f>IF(K33=0,"لا ينطبق",IF(L33&gt;=K33,"مكتمل",IF(L33=0,"لا يوجد","عجز")))</f>
        <v/>
      </c>
      <c r="P33" s="38">
        <f>IF(CAP&lt;=$D$4,D33*CAP/$D$4,IF(CAP&gt;=$J$4,J33*CAP/$J$4,INDEX($D33:$J33,$D$3)+$E$3*(INDEX($D33:$J33,$D$3+1)-INDEX($D33:$J33,$D$3))))</f>
        <v/>
      </c>
      <c r="Q33" s="39" t="inlineStr"/>
    </row>
    <row r="34">
      <c r="A34" s="30" t="n">
        <v>30</v>
      </c>
      <c r="B34" s="31" t="inlineStr">
        <is>
          <t>إداري</t>
        </is>
      </c>
      <c r="C34" s="5" t="inlineStr">
        <is>
          <t>مدير عمليات الموارد البشرية</t>
        </is>
      </c>
      <c r="D34" s="32" t="n">
        <v>1</v>
      </c>
      <c r="E34" s="32" t="n">
        <v>1</v>
      </c>
      <c r="F34" s="32" t="n">
        <v>1</v>
      </c>
      <c r="G34" s="32" t="n">
        <v>1</v>
      </c>
      <c r="H34" s="32" t="n">
        <v>1</v>
      </c>
      <c r="I34" s="32" t="n">
        <v>1</v>
      </c>
      <c r="J34" s="32" t="n">
        <v>1</v>
      </c>
      <c r="K34" s="33">
        <f>IF(RMODE="تقريب لأعلى",ROUNDUP(P34,0),ROUND(P34,0))</f>
        <v/>
      </c>
      <c r="L34" s="34" t="n"/>
      <c r="M34" s="35">
        <f>L34-K34</f>
        <v/>
      </c>
      <c r="N34" s="36">
        <f>IF(K34=0,"",L34/K34)</f>
        <v/>
      </c>
      <c r="O34" s="37">
        <f>IF(K34=0,"لا ينطبق",IF(L34&gt;=K34,"مكتمل",IF(L34=0,"لا يوجد","عجز")))</f>
        <v/>
      </c>
      <c r="P34" s="38">
        <f>IF(CAP&lt;=$D$4,D34*CAP/$D$4,IF(CAP&gt;=$J$4,J34*CAP/$J$4,INDEX($D34:$J34,$D$3)+$E$3*(INDEX($D34:$J34,$D$3+1)-INDEX($D34:$J34,$D$3))))</f>
        <v/>
      </c>
      <c r="Q34" s="39" t="inlineStr"/>
    </row>
    <row r="35">
      <c r="A35" s="30" t="n">
        <v>31</v>
      </c>
      <c r="B35" s="31" t="inlineStr">
        <is>
          <t>إداري</t>
        </is>
      </c>
      <c r="C35" s="5" t="inlineStr">
        <is>
          <t>مترجم</t>
        </is>
      </c>
      <c r="D35" s="32" t="n">
        <v>2</v>
      </c>
      <c r="E35" s="32" t="n">
        <v>2</v>
      </c>
      <c r="F35" s="32" t="n">
        <v>2</v>
      </c>
      <c r="G35" s="32" t="n">
        <v>3</v>
      </c>
      <c r="H35" s="32" t="n">
        <v>3</v>
      </c>
      <c r="I35" s="32" t="n">
        <v>4</v>
      </c>
      <c r="J35" s="32" t="n">
        <v>6</v>
      </c>
      <c r="K35" s="33">
        <f>IF(RMODE="تقريب لأعلى",ROUNDUP(P35,0),ROUND(P35,0))</f>
        <v/>
      </c>
      <c r="L35" s="34" t="n"/>
      <c r="M35" s="35">
        <f>L35-K35</f>
        <v/>
      </c>
      <c r="N35" s="36">
        <f>IF(K35=0,"",L35/K35)</f>
        <v/>
      </c>
      <c r="O35" s="37">
        <f>IF(K35=0,"لا ينطبق",IF(L35&gt;=K35,"مكتمل",IF(L35=0,"لا يوجد","عجز")))</f>
        <v/>
      </c>
      <c r="P35" s="38">
        <f>IF(CAP&lt;=$D$4,D35*CAP/$D$4,IF(CAP&gt;=$J$4,J35*CAP/$J$4,INDEX($D35:$J35,$D$3)+$E$3*(INDEX($D35:$J35,$D$3+1)-INDEX($D35:$J35,$D$3))))</f>
        <v/>
      </c>
      <c r="Q35" s="39" t="inlineStr"/>
    </row>
    <row r="36">
      <c r="A36" s="30" t="n">
        <v>32</v>
      </c>
      <c r="B36" s="31" t="inlineStr">
        <is>
          <t>إداري</t>
        </is>
      </c>
      <c r="C36" s="5" t="inlineStr">
        <is>
          <t>مراقب مخزون</t>
        </is>
      </c>
      <c r="D36" s="32" t="n">
        <v>2</v>
      </c>
      <c r="E36" s="32" t="n">
        <v>2</v>
      </c>
      <c r="F36" s="32" t="n">
        <v>2</v>
      </c>
      <c r="G36" s="32" t="n">
        <v>3</v>
      </c>
      <c r="H36" s="32" t="n">
        <v>3</v>
      </c>
      <c r="I36" s="32" t="n">
        <v>5</v>
      </c>
      <c r="J36" s="32" t="n">
        <v>6</v>
      </c>
      <c r="K36" s="33">
        <f>IF(RMODE="تقريب لأعلى",ROUNDUP(P36,0),ROUND(P36,0))</f>
        <v/>
      </c>
      <c r="L36" s="34" t="n"/>
      <c r="M36" s="35">
        <f>L36-K36</f>
        <v/>
      </c>
      <c r="N36" s="36">
        <f>IF(K36=0,"",L36/K36)</f>
        <v/>
      </c>
      <c r="O36" s="37">
        <f>IF(K36=0,"لا ينطبق",IF(L36&gt;=K36,"مكتمل",IF(L36=0,"لا يوجد","عجز")))</f>
        <v/>
      </c>
      <c r="P36" s="38">
        <f>IF(CAP&lt;=$D$4,D36*CAP/$D$4,IF(CAP&gt;=$J$4,J36*CAP/$J$4,INDEX($D36:$J36,$D$3)+$E$3*(INDEX($D36:$J36,$D$3+1)-INDEX($D36:$J36,$D$3))))</f>
        <v/>
      </c>
      <c r="Q36" s="39" t="inlineStr"/>
    </row>
    <row r="37">
      <c r="A37" s="30" t="n">
        <v>33</v>
      </c>
      <c r="B37" s="31" t="inlineStr">
        <is>
          <t>إداري</t>
        </is>
      </c>
      <c r="C37" s="5" t="inlineStr">
        <is>
          <t>أخصائي رقابة إدارية</t>
        </is>
      </c>
      <c r="D37" s="32" t="n">
        <v>1</v>
      </c>
      <c r="E37" s="32" t="n">
        <v>2</v>
      </c>
      <c r="F37" s="32" t="n">
        <v>2</v>
      </c>
      <c r="G37" s="32" t="n">
        <v>2</v>
      </c>
      <c r="H37" s="32" t="n">
        <v>2</v>
      </c>
      <c r="I37" s="32" t="n">
        <v>2</v>
      </c>
      <c r="J37" s="32" t="n">
        <v>2</v>
      </c>
      <c r="K37" s="33">
        <f>IF(RMODE="تقريب لأعلى",ROUNDUP(P37,0),ROUND(P37,0))</f>
        <v/>
      </c>
      <c r="L37" s="34" t="n"/>
      <c r="M37" s="35">
        <f>L37-K37</f>
        <v/>
      </c>
      <c r="N37" s="36">
        <f>IF(K37=0,"",L37/K37)</f>
        <v/>
      </c>
      <c r="O37" s="37">
        <f>IF(K37=0,"لا ينطبق",IF(L37&gt;=K37,"مكتمل",IF(L37=0,"لا يوجد","عجز")))</f>
        <v/>
      </c>
      <c r="P37" s="38">
        <f>IF(CAP&lt;=$D$4,D37*CAP/$D$4,IF(CAP&gt;=$J$4,J37*CAP/$J$4,INDEX($D37:$J37,$D$3)+$E$3*(INDEX($D37:$J37,$D$3+1)-INDEX($D37:$J37,$D$3))))</f>
        <v/>
      </c>
      <c r="Q37" s="39" t="inlineStr"/>
    </row>
    <row r="38">
      <c r="A38" s="30" t="n">
        <v>34</v>
      </c>
      <c r="B38" s="31" t="inlineStr">
        <is>
          <t>إداري</t>
        </is>
      </c>
      <c r="C38" s="5" t="inlineStr">
        <is>
          <t>أخصائي علاقات عامة</t>
        </is>
      </c>
      <c r="D38" s="32" t="n">
        <v>2</v>
      </c>
      <c r="E38" s="32" t="n">
        <v>2</v>
      </c>
      <c r="F38" s="32" t="n">
        <v>2</v>
      </c>
      <c r="G38" s="32" t="n">
        <v>2</v>
      </c>
      <c r="H38" s="32" t="n">
        <v>2</v>
      </c>
      <c r="I38" s="32" t="n">
        <v>2</v>
      </c>
      <c r="J38" s="32" t="n">
        <v>4</v>
      </c>
      <c r="K38" s="33">
        <f>IF(RMODE="تقريب لأعلى",ROUNDUP(P38,0),ROUND(P38,0))</f>
        <v/>
      </c>
      <c r="L38" s="34" t="n"/>
      <c r="M38" s="35">
        <f>L38-K38</f>
        <v/>
      </c>
      <c r="N38" s="36">
        <f>IF(K38=0,"",L38/K38)</f>
        <v/>
      </c>
      <c r="O38" s="37">
        <f>IF(K38=0,"لا ينطبق",IF(L38&gt;=K38,"مكتمل",IF(L38=0,"لا يوجد","عجز")))</f>
        <v/>
      </c>
      <c r="P38" s="38">
        <f>IF(CAP&lt;=$D$4,D38*CAP/$D$4,IF(CAP&gt;=$J$4,J38*CAP/$J$4,INDEX($D38:$J38,$D$3)+$E$3*(INDEX($D38:$J38,$D$3+1)-INDEX($D38:$J38,$D$3))))</f>
        <v/>
      </c>
      <c r="Q38" s="39" t="inlineStr"/>
    </row>
    <row r="39">
      <c r="A39" s="30" t="n">
        <v>35</v>
      </c>
      <c r="B39" s="31" t="inlineStr">
        <is>
          <t>إداري</t>
        </is>
      </c>
      <c r="C39" s="5" t="inlineStr">
        <is>
          <t>مدير متابعة وأداء مؤسسي</t>
        </is>
      </c>
      <c r="D39" s="32" t="n">
        <v>1</v>
      </c>
      <c r="E39" s="32" t="n">
        <v>1</v>
      </c>
      <c r="F39" s="32" t="n">
        <v>1</v>
      </c>
      <c r="G39" s="32" t="n">
        <v>1</v>
      </c>
      <c r="H39" s="32" t="n">
        <v>1</v>
      </c>
      <c r="I39" s="32" t="n">
        <v>1</v>
      </c>
      <c r="J39" s="32" t="n">
        <v>1</v>
      </c>
      <c r="K39" s="33">
        <f>IF(RMODE="تقريب لأعلى",ROUNDUP(P39,0),ROUND(P39,0))</f>
        <v/>
      </c>
      <c r="L39" s="34" t="n"/>
      <c r="M39" s="35">
        <f>L39-K39</f>
        <v/>
      </c>
      <c r="N39" s="36">
        <f>IF(K39=0,"",L39/K39)</f>
        <v/>
      </c>
      <c r="O39" s="37">
        <f>IF(K39=0,"لا ينطبق",IF(L39&gt;=K39,"مكتمل",IF(L39=0,"لا يوجد","عجز")))</f>
        <v/>
      </c>
      <c r="P39" s="38">
        <f>IF(CAP&lt;=$D$4,D39*CAP/$D$4,IF(CAP&gt;=$J$4,J39*CAP/$J$4,INDEX($D39:$J39,$D$3)+$E$3*(INDEX($D39:$J39,$D$3+1)-INDEX($D39:$J39,$D$3))))</f>
        <v/>
      </c>
      <c r="Q39" s="39" t="inlineStr"/>
    </row>
    <row r="40">
      <c r="A40" s="30" t="n">
        <v>36</v>
      </c>
      <c r="B40" s="31" t="inlineStr">
        <is>
          <t>إداري</t>
        </is>
      </c>
      <c r="C40" s="5" t="inlineStr">
        <is>
          <t>أخصائي / مهندس سلامة</t>
        </is>
      </c>
      <c r="D40" s="32" t="n">
        <v>1</v>
      </c>
      <c r="E40" s="32" t="n">
        <v>1</v>
      </c>
      <c r="F40" s="32" t="n">
        <v>1</v>
      </c>
      <c r="G40" s="32" t="n">
        <v>1</v>
      </c>
      <c r="H40" s="32" t="n">
        <v>2</v>
      </c>
      <c r="I40" s="32" t="n">
        <v>2</v>
      </c>
      <c r="J40" s="32" t="n">
        <v>2</v>
      </c>
      <c r="K40" s="33">
        <f>IF(RMODE="تقريب لأعلى",ROUNDUP(P40,0),ROUND(P40,0))</f>
        <v/>
      </c>
      <c r="L40" s="34" t="n"/>
      <c r="M40" s="35">
        <f>L40-K40</f>
        <v/>
      </c>
      <c r="N40" s="36">
        <f>IF(K40=0,"",L40/K40)</f>
        <v/>
      </c>
      <c r="O40" s="37">
        <f>IF(K40=0,"لا ينطبق",IF(L40&gt;=K40,"مكتمل",IF(L40=0,"لا يوجد","عجز")))</f>
        <v/>
      </c>
      <c r="P40" s="38">
        <f>IF(CAP&lt;=$D$4,D40*CAP/$D$4,IF(CAP&gt;=$J$4,J40*CAP/$J$4,INDEX($D40:$J40,$D$3)+$E$3*(INDEX($D40:$J40,$D$3+1)-INDEX($D40:$J40,$D$3))))</f>
        <v/>
      </c>
      <c r="Q40" s="39" t="inlineStr"/>
    </row>
    <row r="41">
      <c r="A41" s="30" t="n">
        <v>37</v>
      </c>
      <c r="B41" s="31" t="inlineStr">
        <is>
          <t>إداري</t>
        </is>
      </c>
      <c r="C41" s="5" t="inlineStr">
        <is>
          <t>مراقب أمن (ضابط عمليات)</t>
        </is>
      </c>
      <c r="D41" s="32" t="n">
        <v>7</v>
      </c>
      <c r="E41" s="32" t="n">
        <v>7</v>
      </c>
      <c r="F41" s="32" t="n">
        <v>7</v>
      </c>
      <c r="G41" s="32" t="n">
        <v>7</v>
      </c>
      <c r="H41" s="32" t="n">
        <v>10</v>
      </c>
      <c r="I41" s="32" t="n">
        <v>10</v>
      </c>
      <c r="J41" s="32" t="n">
        <v>10</v>
      </c>
      <c r="K41" s="33">
        <f>IF(RMODE="تقريب لأعلى",ROUNDUP(P41,0),ROUND(P41,0))</f>
        <v/>
      </c>
      <c r="L41" s="34" t="n"/>
      <c r="M41" s="35">
        <f>L41-K41</f>
        <v/>
      </c>
      <c r="N41" s="36">
        <f>IF(K41=0,"",L41/K41)</f>
        <v/>
      </c>
      <c r="O41" s="37">
        <f>IF(K41=0,"لا ينطبق",IF(L41&gt;=K41,"مكتمل",IF(L41=0,"لا يوجد","عجز")))</f>
        <v/>
      </c>
      <c r="P41" s="38">
        <f>IF(CAP&lt;=$D$4,D41*CAP/$D$4,IF(CAP&gt;=$J$4,J41*CAP/$J$4,INDEX($D41:$J41,$D$3)+$E$3*(INDEX($D41:$J41,$D$3+1)-INDEX($D41:$J41,$D$3))))</f>
        <v/>
      </c>
      <c r="Q41" s="39" t="inlineStr"/>
    </row>
    <row r="42">
      <c r="A42" s="30" t="n">
        <v>38</v>
      </c>
      <c r="B42" s="31" t="inlineStr">
        <is>
          <t>إداري</t>
        </is>
      </c>
      <c r="C42" s="5" t="inlineStr">
        <is>
          <t>فني سلامة</t>
        </is>
      </c>
      <c r="D42" s="32" t="n">
        <v>3</v>
      </c>
      <c r="E42" s="32" t="n">
        <v>3</v>
      </c>
      <c r="F42" s="32" t="n">
        <v>7</v>
      </c>
      <c r="G42" s="32" t="n">
        <v>7</v>
      </c>
      <c r="H42" s="32" t="n">
        <v>12</v>
      </c>
      <c r="I42" s="32" t="n">
        <v>12</v>
      </c>
      <c r="J42" s="32" t="n">
        <v>12</v>
      </c>
      <c r="K42" s="33">
        <f>IF(RMODE="تقريب لأعلى",ROUNDUP(P42,0),ROUND(P42,0))</f>
        <v/>
      </c>
      <c r="L42" s="34" t="n"/>
      <c r="M42" s="35">
        <f>L42-K42</f>
        <v/>
      </c>
      <c r="N42" s="36">
        <f>IF(K42=0,"",L42/K42)</f>
        <v/>
      </c>
      <c r="O42" s="37">
        <f>IF(K42=0,"لا ينطبق",IF(L42&gt;=K42,"مكتمل",IF(L42=0,"لا يوجد","عجز")))</f>
        <v/>
      </c>
      <c r="P42" s="38">
        <f>IF(CAP&lt;=$D$4,D42*CAP/$D$4,IF(CAP&gt;=$J$4,J42*CAP/$J$4,INDEX($D42:$J42,$D$3)+$E$3*(INDEX($D42:$J42,$D$3+1)-INDEX($D42:$J42,$D$3))))</f>
        <v/>
      </c>
      <c r="Q42" s="39" t="inlineStr"/>
    </row>
    <row r="43">
      <c r="A43" s="30" t="n">
        <v>39</v>
      </c>
      <c r="B43" s="31" t="inlineStr">
        <is>
          <t>إداري</t>
        </is>
      </c>
      <c r="C43" s="5" t="inlineStr">
        <is>
          <t>خدمات المرفق الصحي</t>
        </is>
      </c>
      <c r="D43" s="32" t="n">
        <v>1</v>
      </c>
      <c r="E43" s="32" t="n">
        <v>1</v>
      </c>
      <c r="F43" s="32" t="n">
        <v>1</v>
      </c>
      <c r="G43" s="32" t="n">
        <v>1</v>
      </c>
      <c r="H43" s="32" t="n">
        <v>1</v>
      </c>
      <c r="I43" s="32" t="n">
        <v>1</v>
      </c>
      <c r="J43" s="32" t="n">
        <v>1</v>
      </c>
      <c r="K43" s="33">
        <f>IF(RMODE="تقريب لأعلى",ROUNDUP(P43,0),ROUND(P43,0))</f>
        <v/>
      </c>
      <c r="L43" s="34" t="n"/>
      <c r="M43" s="35">
        <f>L43-K43</f>
        <v/>
      </c>
      <c r="N43" s="36">
        <f>IF(K43=0,"",L43/K43)</f>
        <v/>
      </c>
      <c r="O43" s="37">
        <f>IF(K43=0,"لا ينطبق",IF(L43&gt;=K43,"مكتمل",IF(L43=0,"لا يوجد","عجز")))</f>
        <v/>
      </c>
      <c r="P43" s="38">
        <f>IF(CAP&lt;=$D$4,D43*CAP/$D$4,IF(CAP&gt;=$J$4,J43*CAP/$J$4,INDEX($D43:$J43,$D$3)+$E$3*(INDEX($D43:$J43,$D$3+1)-INDEX($D43:$J43,$D$3))))</f>
        <v/>
      </c>
      <c r="Q43" s="39" t="inlineStr"/>
    </row>
    <row r="44">
      <c r="A44" s="30" t="n">
        <v>40</v>
      </c>
      <c r="B44" s="31" t="inlineStr">
        <is>
          <t>إداري</t>
        </is>
      </c>
      <c r="C44" s="5" t="inlineStr">
        <is>
          <t>مشرف نظافة</t>
        </is>
      </c>
      <c r="D44" s="32" t="n">
        <v>2</v>
      </c>
      <c r="E44" s="32" t="n">
        <v>2</v>
      </c>
      <c r="F44" s="32" t="n">
        <v>4</v>
      </c>
      <c r="G44" s="32" t="n">
        <v>4</v>
      </c>
      <c r="H44" s="32" t="n">
        <v>6</v>
      </c>
      <c r="I44" s="32" t="n">
        <v>7</v>
      </c>
      <c r="J44" s="32" t="n">
        <v>7</v>
      </c>
      <c r="K44" s="33">
        <f>IF(RMODE="تقريب لأعلى",ROUNDUP(P44,0),ROUND(P44,0))</f>
        <v/>
      </c>
      <c r="L44" s="34" t="n"/>
      <c r="M44" s="35">
        <f>L44-K44</f>
        <v/>
      </c>
      <c r="N44" s="36">
        <f>IF(K44=0,"",L44/K44)</f>
        <v/>
      </c>
      <c r="O44" s="37">
        <f>IF(K44=0,"لا ينطبق",IF(L44&gt;=K44,"مكتمل",IF(L44=0,"لا يوجد","عجز")))</f>
        <v/>
      </c>
      <c r="P44" s="38">
        <f>IF(CAP&lt;=$D$4,D44*CAP/$D$4,IF(CAP&gt;=$J$4,J44*CAP/$J$4,INDEX($D44:$J44,$D$3)+$E$3*(INDEX($D44:$J44,$D$3+1)-INDEX($D44:$J44,$D$3))))</f>
        <v/>
      </c>
      <c r="Q44" s="39" t="inlineStr"/>
    </row>
    <row r="45">
      <c r="A45" s="30" t="n">
        <v>41</v>
      </c>
      <c r="B45" s="31" t="inlineStr">
        <is>
          <t>إداري</t>
        </is>
      </c>
      <c r="C45" s="5" t="inlineStr">
        <is>
          <t>مشرف مغسلة</t>
        </is>
      </c>
      <c r="D45" s="32" t="n">
        <v>1</v>
      </c>
      <c r="E45" s="32" t="n">
        <v>1</v>
      </c>
      <c r="F45" s="32" t="n">
        <v>1</v>
      </c>
      <c r="G45" s="32" t="n">
        <v>1</v>
      </c>
      <c r="H45" s="32" t="n">
        <v>2</v>
      </c>
      <c r="I45" s="32" t="n">
        <v>2</v>
      </c>
      <c r="J45" s="32" t="n">
        <v>2</v>
      </c>
      <c r="K45" s="33">
        <f>IF(RMODE="تقريب لأعلى",ROUNDUP(P45,0),ROUND(P45,0))</f>
        <v/>
      </c>
      <c r="L45" s="34" t="n"/>
      <c r="M45" s="35">
        <f>L45-K45</f>
        <v/>
      </c>
      <c r="N45" s="36">
        <f>IF(K45=0,"",L45/K45)</f>
        <v/>
      </c>
      <c r="O45" s="37">
        <f>IF(K45=0,"لا ينطبق",IF(L45&gt;=K45,"مكتمل",IF(L45=0,"لا يوجد","عجز")))</f>
        <v/>
      </c>
      <c r="P45" s="38">
        <f>IF(CAP&lt;=$D$4,D45*CAP/$D$4,IF(CAP&gt;=$J$4,J45*CAP/$J$4,INDEX($D45:$J45,$D$3)+$E$3*(INDEX($D45:$J45,$D$3+1)-INDEX($D45:$J45,$D$3))))</f>
        <v/>
      </c>
      <c r="Q45" s="39" t="inlineStr"/>
    </row>
    <row r="46">
      <c r="A46" s="30" t="n">
        <v>42</v>
      </c>
      <c r="B46" s="31" t="inlineStr">
        <is>
          <t>إداري</t>
        </is>
      </c>
      <c r="C46" s="5" t="inlineStr">
        <is>
          <t>مشرف نفايات (غير طبية)</t>
        </is>
      </c>
      <c r="D46" s="32" t="n">
        <v>1</v>
      </c>
      <c r="E46" s="32" t="n">
        <v>1</v>
      </c>
      <c r="F46" s="32" t="n">
        <v>1</v>
      </c>
      <c r="G46" s="32" t="n">
        <v>1</v>
      </c>
      <c r="H46" s="32" t="n">
        <v>2</v>
      </c>
      <c r="I46" s="32" t="n">
        <v>2</v>
      </c>
      <c r="J46" s="32" t="n">
        <v>2</v>
      </c>
      <c r="K46" s="33">
        <f>IF(RMODE="تقريب لأعلى",ROUNDUP(P46,0),ROUND(P46,0))</f>
        <v/>
      </c>
      <c r="L46" s="34" t="n"/>
      <c r="M46" s="35">
        <f>L46-K46</f>
        <v/>
      </c>
      <c r="N46" s="36">
        <f>IF(K46=0,"",L46/K46)</f>
        <v/>
      </c>
      <c r="O46" s="37">
        <f>IF(K46=0,"لا ينطبق",IF(L46&gt;=K46,"مكتمل",IF(L46=0,"لا يوجد","عجز")))</f>
        <v/>
      </c>
      <c r="P46" s="38">
        <f>IF(CAP&lt;=$D$4,D46*CAP/$D$4,IF(CAP&gt;=$J$4,J46*CAP/$J$4,INDEX($D46:$J46,$D$3)+$E$3*(INDEX($D46:$J46,$D$3+1)-INDEX($D46:$J46,$D$3))))</f>
        <v/>
      </c>
      <c r="Q46" s="39" t="inlineStr"/>
    </row>
    <row r="47">
      <c r="A47" s="30" t="n">
        <v>43</v>
      </c>
      <c r="B47" s="31" t="inlineStr">
        <is>
          <t>إداري</t>
        </is>
      </c>
      <c r="C47" s="5" t="inlineStr">
        <is>
          <t>مهندس زراعي</t>
        </is>
      </c>
      <c r="D47" s="32" t="n">
        <v>1</v>
      </c>
      <c r="E47" s="32" t="n">
        <v>1</v>
      </c>
      <c r="F47" s="32" t="n">
        <v>1</v>
      </c>
      <c r="G47" s="32" t="n">
        <v>1</v>
      </c>
      <c r="H47" s="32" t="n">
        <v>1</v>
      </c>
      <c r="I47" s="32" t="n">
        <v>2</v>
      </c>
      <c r="J47" s="32" t="n">
        <v>2</v>
      </c>
      <c r="K47" s="33">
        <f>IF(RMODE="تقريب لأعلى",ROUNDUP(P47,0),ROUND(P47,0))</f>
        <v/>
      </c>
      <c r="L47" s="34" t="n"/>
      <c r="M47" s="35">
        <f>L47-K47</f>
        <v/>
      </c>
      <c r="N47" s="36">
        <f>IF(K47=0,"",L47/K47)</f>
        <v/>
      </c>
      <c r="O47" s="37">
        <f>IF(K47=0,"لا ينطبق",IF(L47&gt;=K47,"مكتمل",IF(L47=0,"لا يوجد","عجز")))</f>
        <v/>
      </c>
      <c r="P47" s="38">
        <f>IF(CAP&lt;=$D$4,D47*CAP/$D$4,IF(CAP&gt;=$J$4,J47*CAP/$J$4,INDEX($D47:$J47,$D$3)+$E$3*(INDEX($D47:$J47,$D$3+1)-INDEX($D47:$J47,$D$3))))</f>
        <v/>
      </c>
      <c r="Q47" s="39" t="inlineStr"/>
    </row>
    <row r="48">
      <c r="A48" s="30" t="n">
        <v>44</v>
      </c>
      <c r="B48" s="31" t="inlineStr">
        <is>
          <t>إداري</t>
        </is>
      </c>
      <c r="C48" s="5" t="inlineStr">
        <is>
          <t>خدمات الإسكان</t>
        </is>
      </c>
      <c r="D48" s="32" t="n">
        <v>1</v>
      </c>
      <c r="E48" s="32" t="n">
        <v>1</v>
      </c>
      <c r="F48" s="32" t="n">
        <v>1</v>
      </c>
      <c r="G48" s="32" t="n">
        <v>1</v>
      </c>
      <c r="H48" s="32" t="n">
        <v>1</v>
      </c>
      <c r="I48" s="32" t="n">
        <v>1</v>
      </c>
      <c r="J48" s="32" t="n">
        <v>1</v>
      </c>
      <c r="K48" s="33">
        <f>IF(RMODE="تقريب لأعلى",ROUNDUP(P48,0),ROUND(P48,0))</f>
        <v/>
      </c>
      <c r="L48" s="34" t="n"/>
      <c r="M48" s="35">
        <f>L48-K48</f>
        <v/>
      </c>
      <c r="N48" s="36">
        <f>IF(K48=0,"",L48/K48)</f>
        <v/>
      </c>
      <c r="O48" s="37">
        <f>IF(K48=0,"لا ينطبق",IF(L48&gt;=K48,"مكتمل",IF(L48=0,"لا يوجد","عجز")))</f>
        <v/>
      </c>
      <c r="P48" s="38">
        <f>IF(CAP&lt;=$D$4,D48*CAP/$D$4,IF(CAP&gt;=$J$4,J48*CAP/$J$4,INDEX($D48:$J48,$D$3)+$E$3*(INDEX($D48:$J48,$D$3+1)-INDEX($D48:$J48,$D$3))))</f>
        <v/>
      </c>
      <c r="Q48" s="39" t="inlineStr"/>
    </row>
    <row r="49">
      <c r="A49" s="30" t="n">
        <v>45</v>
      </c>
      <c r="B49" s="31" t="inlineStr">
        <is>
          <t>إداري</t>
        </is>
      </c>
      <c r="C49" s="5" t="inlineStr">
        <is>
          <t>إداري إسكان</t>
        </is>
      </c>
      <c r="D49" s="32" t="n">
        <v>2</v>
      </c>
      <c r="E49" s="32" t="n">
        <v>3</v>
      </c>
      <c r="F49" s="32" t="n">
        <v>4</v>
      </c>
      <c r="G49" s="32" t="n">
        <v>5</v>
      </c>
      <c r="H49" s="32" t="n">
        <v>6</v>
      </c>
      <c r="I49" s="32" t="n">
        <v>7</v>
      </c>
      <c r="J49" s="32" t="n">
        <v>8</v>
      </c>
      <c r="K49" s="33">
        <f>IF(RMODE="تقريب لأعلى",ROUNDUP(P49,0),ROUND(P49,0))</f>
        <v/>
      </c>
      <c r="L49" s="34" t="n"/>
      <c r="M49" s="35">
        <f>L49-K49</f>
        <v/>
      </c>
      <c r="N49" s="36">
        <f>IF(K49=0,"",L49/K49)</f>
        <v/>
      </c>
      <c r="O49" s="37">
        <f>IF(K49=0,"لا ينطبق",IF(L49&gt;=K49,"مكتمل",IF(L49=0,"لا يوجد","عجز")))</f>
        <v/>
      </c>
      <c r="P49" s="38">
        <f>IF(CAP&lt;=$D$4,D49*CAP/$D$4,IF(CAP&gt;=$J$4,J49*CAP/$J$4,INDEX($D49:$J49,$D$3)+$E$3*(INDEX($D49:$J49,$D$3+1)-INDEX($D49:$J49,$D$3))))</f>
        <v/>
      </c>
      <c r="Q49" s="39" t="inlineStr"/>
    </row>
    <row r="50">
      <c r="A50" s="30" t="n">
        <v>46</v>
      </c>
      <c r="B50" s="31" t="inlineStr">
        <is>
          <t>إداري</t>
        </is>
      </c>
      <c r="C50" s="5" t="inlineStr">
        <is>
          <t>مسؤول سلامة الغازات الطبية</t>
        </is>
      </c>
      <c r="D50" s="32" t="n">
        <v>1</v>
      </c>
      <c r="E50" s="32" t="n">
        <v>2</v>
      </c>
      <c r="F50" s="32" t="n">
        <v>3</v>
      </c>
      <c r="G50" s="32" t="n">
        <v>4</v>
      </c>
      <c r="H50" s="32" t="n">
        <v>4</v>
      </c>
      <c r="I50" s="32" t="n">
        <v>5</v>
      </c>
      <c r="J50" s="32" t="n">
        <v>5</v>
      </c>
      <c r="K50" s="33">
        <f>IF(RMODE="تقريب لأعلى",ROUNDUP(P50,0),ROUND(P50,0))</f>
        <v/>
      </c>
      <c r="L50" s="34" t="n"/>
      <c r="M50" s="35">
        <f>L50-K50</f>
        <v/>
      </c>
      <c r="N50" s="36">
        <f>IF(K50=0,"",L50/K50)</f>
        <v/>
      </c>
      <c r="O50" s="37">
        <f>IF(K50=0,"لا ينطبق",IF(L50&gt;=K50,"مكتمل",IF(L50=0,"لا يوجد","عجز")))</f>
        <v/>
      </c>
      <c r="P50" s="38">
        <f>IF(CAP&lt;=$D$4,D50*CAP/$D$4,IF(CAP&gt;=$J$4,J50*CAP/$J$4,INDEX($D50:$J50,$D$3)+$E$3*(INDEX($D50:$J50,$D$3+1)-INDEX($D50:$J50,$D$3))))</f>
        <v/>
      </c>
      <c r="Q50" s="39" t="inlineStr"/>
    </row>
    <row r="51">
      <c r="A51" s="30" t="n">
        <v>47</v>
      </c>
      <c r="B51" s="31" t="inlineStr">
        <is>
          <t>إداري</t>
        </is>
      </c>
      <c r="C51" s="5" t="inlineStr">
        <is>
          <t>أمين عهدة</t>
        </is>
      </c>
      <c r="D51" s="32" t="n">
        <v>2</v>
      </c>
      <c r="E51" s="32" t="n">
        <v>2</v>
      </c>
      <c r="F51" s="32" t="n">
        <v>3</v>
      </c>
      <c r="G51" s="32" t="n">
        <v>3</v>
      </c>
      <c r="H51" s="32" t="n">
        <v>3</v>
      </c>
      <c r="I51" s="32" t="n">
        <v>4</v>
      </c>
      <c r="J51" s="32" t="n">
        <v>4</v>
      </c>
      <c r="K51" s="33">
        <f>IF(RMODE="تقريب لأعلى",ROUNDUP(P51,0),ROUND(P51,0))</f>
        <v/>
      </c>
      <c r="L51" s="34" t="n"/>
      <c r="M51" s="35">
        <f>L51-K51</f>
        <v/>
      </c>
      <c r="N51" s="36">
        <f>IF(K51=0,"",L51/K51)</f>
        <v/>
      </c>
      <c r="O51" s="37">
        <f>IF(K51=0,"لا ينطبق",IF(L51&gt;=K51,"مكتمل",IF(L51=0,"لا يوجد","عجز")))</f>
        <v/>
      </c>
      <c r="P51" s="38">
        <f>IF(CAP&lt;=$D$4,D51*CAP/$D$4,IF(CAP&gt;=$J$4,J51*CAP/$J$4,INDEX($D51:$J51,$D$3)+$E$3*(INDEX($D51:$J51,$D$3+1)-INDEX($D51:$J51,$D$3))))</f>
        <v/>
      </c>
      <c r="Q51" s="39" t="inlineStr"/>
    </row>
    <row r="52">
      <c r="A52" s="30" t="n">
        <v>48</v>
      </c>
      <c r="B52" s="31" t="inlineStr">
        <is>
          <t>إداري</t>
        </is>
      </c>
      <c r="C52" s="5" t="inlineStr">
        <is>
          <t>مأمور ساحة استلام</t>
        </is>
      </c>
      <c r="D52" s="32" t="n">
        <v>1</v>
      </c>
      <c r="E52" s="32" t="n">
        <v>1</v>
      </c>
      <c r="F52" s="32" t="n">
        <v>2</v>
      </c>
      <c r="G52" s="32" t="n">
        <v>2</v>
      </c>
      <c r="H52" s="32" t="n">
        <v>2</v>
      </c>
      <c r="I52" s="32" t="n">
        <v>2</v>
      </c>
      <c r="J52" s="32" t="n">
        <v>2</v>
      </c>
      <c r="K52" s="33">
        <f>IF(RMODE="تقريب لأعلى",ROUNDUP(P52,0),ROUND(P52,0))</f>
        <v/>
      </c>
      <c r="L52" s="34" t="n"/>
      <c r="M52" s="35">
        <f>L52-K52</f>
        <v/>
      </c>
      <c r="N52" s="36">
        <f>IF(K52=0,"",L52/K52)</f>
        <v/>
      </c>
      <c r="O52" s="37">
        <f>IF(K52=0,"لا ينطبق",IF(L52&gt;=K52,"مكتمل",IF(L52=0,"لا يوجد","عجز")))</f>
        <v/>
      </c>
      <c r="P52" s="38">
        <f>IF(CAP&lt;=$D$4,D52*CAP/$D$4,IF(CAP&gt;=$J$4,J52*CAP/$J$4,INDEX($D52:$J52,$D$3)+$E$3*(INDEX($D52:$J52,$D$3+1)-INDEX($D52:$J52,$D$3))))</f>
        <v/>
      </c>
      <c r="Q52" s="39" t="inlineStr"/>
    </row>
    <row r="53">
      <c r="A53" s="30" t="n">
        <v>49</v>
      </c>
      <c r="B53" s="31" t="inlineStr">
        <is>
          <t>إداري</t>
        </is>
      </c>
      <c r="C53" s="5" t="inlineStr">
        <is>
          <t>مدير عمليات أمن</t>
        </is>
      </c>
      <c r="D53" s="32" t="n">
        <v>1</v>
      </c>
      <c r="E53" s="32" t="n">
        <v>1</v>
      </c>
      <c r="F53" s="32" t="n">
        <v>1</v>
      </c>
      <c r="G53" s="32" t="n">
        <v>1</v>
      </c>
      <c r="H53" s="32" t="n">
        <v>2</v>
      </c>
      <c r="I53" s="32" t="n">
        <v>2</v>
      </c>
      <c r="J53" s="32" t="n">
        <v>2</v>
      </c>
      <c r="K53" s="33">
        <f>IF(RMODE="تقريب لأعلى",ROUNDUP(P53,0),ROUND(P53,0))</f>
        <v/>
      </c>
      <c r="L53" s="34" t="n"/>
      <c r="M53" s="35">
        <f>L53-K53</f>
        <v/>
      </c>
      <c r="N53" s="36">
        <f>IF(K53=0,"",L53/K53)</f>
        <v/>
      </c>
      <c r="O53" s="37">
        <f>IF(K53=0,"لا ينطبق",IF(L53&gt;=K53,"مكتمل",IF(L53=0,"لا يوجد","عجز")))</f>
        <v/>
      </c>
      <c r="P53" s="38">
        <f>IF(CAP&lt;=$D$4,D53*CAP/$D$4,IF(CAP&gt;=$J$4,J53*CAP/$J$4,INDEX($D53:$J53,$D$3)+$E$3*(INDEX($D53:$J53,$D$3+1)-INDEX($D53:$J53,$D$3))))</f>
        <v/>
      </c>
      <c r="Q53" s="39" t="inlineStr"/>
    </row>
    <row r="54">
      <c r="A54" s="30" t="n">
        <v>50</v>
      </c>
      <c r="B54" s="31" t="inlineStr">
        <is>
          <t>إداري</t>
        </is>
      </c>
      <c r="C54" s="5" t="inlineStr">
        <is>
          <t>مراسل</t>
        </is>
      </c>
      <c r="D54" s="32" t="n">
        <v>5</v>
      </c>
      <c r="E54" s="32" t="n">
        <v>10</v>
      </c>
      <c r="F54" s="32" t="n">
        <v>10</v>
      </c>
      <c r="G54" s="32" t="n">
        <v>15</v>
      </c>
      <c r="H54" s="32" t="n">
        <v>15</v>
      </c>
      <c r="I54" s="32" t="n">
        <v>20</v>
      </c>
      <c r="J54" s="32" t="n">
        <v>20</v>
      </c>
      <c r="K54" s="33">
        <f>IF(RMODE="تقريب لأعلى",ROUNDUP(P54,0),ROUND(P54,0))</f>
        <v/>
      </c>
      <c r="L54" s="34" t="n"/>
      <c r="M54" s="35">
        <f>L54-K54</f>
        <v/>
      </c>
      <c r="N54" s="36">
        <f>IF(K54=0,"",L54/K54)</f>
        <v/>
      </c>
      <c r="O54" s="37">
        <f>IF(K54=0,"لا ينطبق",IF(L54&gt;=K54,"مكتمل",IF(L54=0,"لا يوجد","عجز")))</f>
        <v/>
      </c>
      <c r="P54" s="38">
        <f>IF(CAP&lt;=$D$4,D54*CAP/$D$4,IF(CAP&gt;=$J$4,J54*CAP/$J$4,INDEX($D54:$J54,$D$3)+$E$3*(INDEX($D54:$J54,$D$3+1)-INDEX($D54:$J54,$D$3))))</f>
        <v/>
      </c>
      <c r="Q54" s="39" t="inlineStr"/>
    </row>
    <row r="55">
      <c r="A55" s="30" t="n">
        <v>51</v>
      </c>
      <c r="B55" s="31" t="inlineStr">
        <is>
          <t>إداري</t>
        </is>
      </c>
      <c r="C55" s="5" t="inlineStr">
        <is>
          <t>سائق سيارة</t>
        </is>
      </c>
      <c r="D55" s="32" t="n">
        <v>5</v>
      </c>
      <c r="E55" s="32" t="n">
        <v>5</v>
      </c>
      <c r="F55" s="32" t="n">
        <v>5</v>
      </c>
      <c r="G55" s="32" t="n">
        <v>8</v>
      </c>
      <c r="H55" s="32" t="n">
        <v>8</v>
      </c>
      <c r="I55" s="32" t="n">
        <v>8</v>
      </c>
      <c r="J55" s="32" t="n">
        <v>10</v>
      </c>
      <c r="K55" s="33">
        <f>IF(RMODE="تقريب لأعلى",ROUNDUP(P55,0),ROUND(P55,0))</f>
        <v/>
      </c>
      <c r="L55" s="34" t="n"/>
      <c r="M55" s="35">
        <f>L55-K55</f>
        <v/>
      </c>
      <c r="N55" s="36">
        <f>IF(K55=0,"",L55/K55)</f>
        <v/>
      </c>
      <c r="O55" s="37">
        <f>IF(K55=0,"لا ينطبق",IF(L55&gt;=K55,"مكتمل",IF(L55=0,"لا يوجد","عجز")))</f>
        <v/>
      </c>
      <c r="P55" s="38">
        <f>IF(CAP&lt;=$D$4,D55*CAP/$D$4,IF(CAP&gt;=$J$4,J55*CAP/$J$4,INDEX($D55:$J55,$D$3)+$E$3*(INDEX($D55:$J55,$D$3+1)-INDEX($D55:$J55,$D$3))))</f>
        <v/>
      </c>
      <c r="Q55" s="39" t="inlineStr"/>
    </row>
    <row r="56">
      <c r="A56" s="40" t="n"/>
      <c r="B56" s="40" t="n"/>
      <c r="C56" s="40" t="inlineStr">
        <is>
          <t>المجموع (محسوب من الجدول)</t>
        </is>
      </c>
      <c r="D56" s="41">
        <f>SUM(D5:D55)</f>
        <v/>
      </c>
      <c r="E56" s="41">
        <f>SUM(E5:E55)</f>
        <v/>
      </c>
      <c r="F56" s="41">
        <f>SUM(F5:F55)</f>
        <v/>
      </c>
      <c r="G56" s="41">
        <f>SUM(G5:G55)</f>
        <v/>
      </c>
      <c r="H56" s="41">
        <f>SUM(H5:H55)</f>
        <v/>
      </c>
      <c r="I56" s="41">
        <f>SUM(I5:I55)</f>
        <v/>
      </c>
      <c r="J56" s="41">
        <f>SUM(J5:J55)</f>
        <v/>
      </c>
      <c r="K56" s="41">
        <f>SUM(K5:K55)</f>
        <v/>
      </c>
      <c r="L56" s="42">
        <f>SUM(L5:L55)</f>
        <v/>
      </c>
      <c r="M56" s="41">
        <f>SUM(M5:M55)</f>
        <v/>
      </c>
      <c r="N56" s="43">
        <f>IF(K56=0,"",L56/K56)</f>
        <v/>
      </c>
      <c r="O56" s="42" t="n"/>
      <c r="P56" s="42">
        <f>SUM(P5:P55)</f>
        <v/>
      </c>
      <c r="Q56" s="42" t="n"/>
    </row>
    <row r="57">
      <c r="A57" s="44" t="n"/>
      <c r="B57" s="44" t="n"/>
      <c r="C57" s="44" t="inlineStr">
        <is>
          <t>المجموع المنشور في الدليل</t>
        </is>
      </c>
      <c r="D57" s="44" t="n">
        <v>100</v>
      </c>
      <c r="E57" s="44" t="n">
        <v>147</v>
      </c>
      <c r="F57" s="44" t="n">
        <v>167</v>
      </c>
      <c r="G57" s="44" t="n">
        <v>217</v>
      </c>
      <c r="H57" s="44" t="n">
        <v>247</v>
      </c>
      <c r="I57" s="44" t="n">
        <v>303</v>
      </c>
      <c r="J57" s="44" t="n">
        <v>340</v>
      </c>
    </row>
    <row r="58">
      <c r="A58" s="44" t="n"/>
      <c r="B58" s="44" t="n"/>
      <c r="C58" s="44" t="inlineStr">
        <is>
          <t>الفرق (محسوب − منشور)</t>
        </is>
      </c>
      <c r="D58" s="44">
        <f>D56-D57</f>
        <v/>
      </c>
      <c r="E58" s="44">
        <f>E56-E57</f>
        <v/>
      </c>
      <c r="F58" s="44">
        <f>F56-F57</f>
        <v/>
      </c>
      <c r="G58" s="44">
        <f>G56-G57</f>
        <v/>
      </c>
      <c r="H58" s="44">
        <f>H56-H57</f>
        <v/>
      </c>
      <c r="I58" s="44">
        <f>I56-I57</f>
        <v/>
      </c>
      <c r="J58" s="44">
        <f>J56-J57</f>
        <v/>
      </c>
    </row>
  </sheetData>
  <mergeCells count="2">
    <mergeCell ref="A2:Q2"/>
    <mergeCell ref="A1:Q1"/>
  </mergeCells>
  <conditionalFormatting sqref="O5:O55">
    <cfRule type="expression" priority="1" dxfId="0">
      <formula>OR(O5="عجز",O5="لا يوجد")</formula>
    </cfRule>
    <cfRule type="expression" priority="2" dxfId="1">
      <formula>O5="مكتمل"</formula>
    </cfRule>
  </conditionalFormatting>
  <pageMargins left="0.75" right="0.75" top="1" bottom="1" header="0.5" footer="0.5"/>
</worksheet>
</file>

<file path=xl/worksheets/sheet9.xml><?xml version="1.0" encoding="utf-8"?>
<worksheet xmlns="http://schemas.openxmlformats.org/spreadsheetml/2006/main">
  <sheetPr>
    <tabColor rgb="001F6F6B"/>
    <outlinePr summaryBelow="1" summaryRight="1"/>
    <pageSetUpPr/>
  </sheetPr>
  <dimension ref="A1:P111"/>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13" customWidth="1" min="10" max="10"/>
    <col width="12" customWidth="1" min="11" max="11"/>
    <col width="13" customWidth="1" min="12" max="12"/>
    <col width="10" customWidth="1" min="13" max="13"/>
    <col width="11" customWidth="1" min="14" max="14"/>
    <col width="11" customWidth="1" min="15" max="15"/>
    <col width="42" customWidth="1" min="16" max="16"/>
  </cols>
  <sheetData>
    <row r="1" ht="30" customHeight="1">
      <c r="A1" s="1" t="inlineStr">
        <is>
          <t>ولادة - الأطباء</t>
        </is>
      </c>
    </row>
    <row r="2" ht="20" customHeight="1">
      <c r="A2" s="2" t="inlineStr">
        <is>
          <t>الملحق (2) — مستشفيات الولادة والأطفال: فئة الأطباء (صفحات 48-50)</t>
        </is>
      </c>
    </row>
    <row r="3">
      <c r="C3" s="25" t="inlineStr">
        <is>
          <t>معاملا الاستيفاء ◄</t>
        </is>
      </c>
      <c r="D3" s="26">
        <f>IFERROR(MATCH(CAP,$D$4:$I$4,1),1)</f>
        <v/>
      </c>
      <c r="E3" s="27">
        <f>IF(OR(CAP&lt;=$D$4,CAP&gt;=$I$4),0,(CAP-INDEX($D$4:$I$4,$D$3))/(INDEX($D$4:$I$4,$D$3+1)-INDEX($D$4:$I$4,$D$3)))</f>
        <v/>
      </c>
    </row>
    <row r="4" ht="42" customHeight="1">
      <c r="A4" s="28" t="inlineStr">
        <is>
          <t>م</t>
        </is>
      </c>
      <c r="B4" s="28" t="inlineStr">
        <is>
          <t>الفئة</t>
        </is>
      </c>
      <c r="C4" s="28" t="inlineStr">
        <is>
          <t>المسمى الوظيفي</t>
        </is>
      </c>
      <c r="D4" s="29" t="n">
        <v>100</v>
      </c>
      <c r="E4" s="29" t="n">
        <v>150</v>
      </c>
      <c r="F4" s="29" t="n">
        <v>200</v>
      </c>
      <c r="G4" s="29" t="n">
        <v>300</v>
      </c>
      <c r="H4" s="29" t="n">
        <v>400</v>
      </c>
      <c r="I4" s="29" t="n">
        <v>500</v>
      </c>
      <c r="J4" s="28" t="inlineStr">
        <is>
          <t>الاحتياج للسعة المدخلة</t>
        </is>
      </c>
      <c r="K4" s="28" t="inlineStr">
        <is>
          <t>الموجود فعلياً</t>
        </is>
      </c>
      <c r="L4" s="28" t="inlineStr">
        <is>
          <t>الفجوة (+فائض / -عجز)</t>
        </is>
      </c>
      <c r="M4" s="28" t="inlineStr">
        <is>
          <t>نسبة التغطية</t>
        </is>
      </c>
      <c r="N4" s="28" t="inlineStr">
        <is>
          <t>الحالة</t>
        </is>
      </c>
      <c r="O4" s="28" t="inlineStr">
        <is>
          <t>القيمة قبل التقريب</t>
        </is>
      </c>
      <c r="P4" s="28" t="inlineStr">
        <is>
          <t>ملاحظات</t>
        </is>
      </c>
    </row>
    <row r="5">
      <c r="A5" s="30" t="n">
        <v>1</v>
      </c>
      <c r="B5" s="31" t="inlineStr">
        <is>
          <t>طبيب</t>
        </is>
      </c>
      <c r="C5" s="5" t="inlineStr">
        <is>
          <t>استشاري باطنة</t>
        </is>
      </c>
      <c r="D5" s="32" t="n">
        <v>3</v>
      </c>
      <c r="E5" s="32" t="n">
        <v>3</v>
      </c>
      <c r="F5" s="32" t="n">
        <v>3</v>
      </c>
      <c r="G5" s="32" t="n">
        <v>4</v>
      </c>
      <c r="H5" s="32" t="n">
        <v>4</v>
      </c>
      <c r="I5" s="32" t="n">
        <v>8</v>
      </c>
      <c r="J5" s="33">
        <f>IF(RMODE="تقريب لأعلى",ROUNDUP(O5,0),ROUND(O5,0))</f>
        <v/>
      </c>
      <c r="K5" s="34" t="n"/>
      <c r="L5" s="35">
        <f>K5-J5</f>
        <v/>
      </c>
      <c r="M5" s="36">
        <f>IF(J5=0,"",K5/J5)</f>
        <v/>
      </c>
      <c r="N5" s="37">
        <f>IF(J5=0,"لا ينطبق",IF(K5&gt;=J5,"مكتمل",IF(K5=0,"لا يوجد","عجز")))</f>
        <v/>
      </c>
      <c r="O5" s="38">
        <f>IF(CAP&lt;=$D$4,D5*CAP/$D$4,IF(CAP&gt;=$I$4,I5*CAP/$I$4,INDEX($D5:$I5,$D$3)+$E$3*(INDEX($D5:$I5,$D$3+1)-INDEX($D5:$I5,$D$3))))</f>
        <v/>
      </c>
      <c r="P5" s="39" t="inlineStr"/>
    </row>
    <row r="6">
      <c r="A6" s="30" t="n">
        <v>2</v>
      </c>
      <c r="B6" s="31" t="inlineStr">
        <is>
          <t>طبيب</t>
        </is>
      </c>
      <c r="C6" s="5" t="inlineStr">
        <is>
          <t>أخصائي باطنة</t>
        </is>
      </c>
      <c r="D6" s="32" t="n">
        <v>4</v>
      </c>
      <c r="E6" s="32" t="n">
        <v>4</v>
      </c>
      <c r="F6" s="32" t="n">
        <v>6</v>
      </c>
      <c r="G6" s="32" t="n">
        <v>8</v>
      </c>
      <c r="H6" s="32" t="n">
        <v>8</v>
      </c>
      <c r="I6" s="32" t="n">
        <v>10</v>
      </c>
      <c r="J6" s="33">
        <f>IF(RMODE="تقريب لأعلى",ROUNDUP(O6,0),ROUND(O6,0))</f>
        <v/>
      </c>
      <c r="K6" s="34" t="n"/>
      <c r="L6" s="35">
        <f>K6-J6</f>
        <v/>
      </c>
      <c r="M6" s="36">
        <f>IF(J6=0,"",K6/J6)</f>
        <v/>
      </c>
      <c r="N6" s="37">
        <f>IF(J6=0,"لا ينطبق",IF(K6&gt;=J6,"مكتمل",IF(K6=0,"لا يوجد","عجز")))</f>
        <v/>
      </c>
      <c r="O6" s="38">
        <f>IF(CAP&lt;=$D$4,D6*CAP/$D$4,IF(CAP&gt;=$I$4,I6*CAP/$I$4,INDEX($D6:$I6,$D$3)+$E$3*(INDEX($D6:$I6,$D$3+1)-INDEX($D6:$I6,$D$3))))</f>
        <v/>
      </c>
      <c r="P6" s="39" t="inlineStr"/>
    </row>
    <row r="7">
      <c r="A7" s="30" t="n">
        <v>3</v>
      </c>
      <c r="B7" s="31" t="inlineStr">
        <is>
          <t>طبيب</t>
        </is>
      </c>
      <c r="C7" s="5" t="inlineStr">
        <is>
          <t>مقيم باطنة</t>
        </is>
      </c>
      <c r="D7" s="32" t="n">
        <v>4</v>
      </c>
      <c r="E7" s="32" t="n">
        <v>4</v>
      </c>
      <c r="F7" s="32" t="n">
        <v>4</v>
      </c>
      <c r="G7" s="32" t="n">
        <v>4</v>
      </c>
      <c r="H7" s="32" t="n">
        <v>4</v>
      </c>
      <c r="I7" s="32" t="n">
        <v>4</v>
      </c>
      <c r="J7" s="33">
        <f>IF(RMODE="تقريب لأعلى",ROUNDUP(O7,0),ROUND(O7,0))</f>
        <v/>
      </c>
      <c r="K7" s="34" t="n"/>
      <c r="L7" s="35">
        <f>K7-J7</f>
        <v/>
      </c>
      <c r="M7" s="36">
        <f>IF(J7=0,"",K7/J7)</f>
        <v/>
      </c>
      <c r="N7" s="37">
        <f>IF(J7=0,"لا ينطبق",IF(K7&gt;=J7,"مكتمل",IF(K7=0,"لا يوجد","عجز")))</f>
        <v/>
      </c>
      <c r="O7" s="38">
        <f>IF(CAP&lt;=$D$4,D7*CAP/$D$4,IF(CAP&gt;=$I$4,I7*CAP/$I$4,INDEX($D7:$I7,$D$3)+$E$3*(INDEX($D7:$I7,$D$3+1)-INDEX($D7:$I7,$D$3))))</f>
        <v/>
      </c>
      <c r="P7" s="39" t="inlineStr"/>
    </row>
    <row r="8">
      <c r="A8" s="30" t="n">
        <v>4</v>
      </c>
      <c r="B8" s="31" t="inlineStr">
        <is>
          <t>طبيب</t>
        </is>
      </c>
      <c r="C8" s="5" t="inlineStr">
        <is>
          <t>استشاري قلب أطفال</t>
        </is>
      </c>
      <c r="D8" s="32" t="n">
        <v>2</v>
      </c>
      <c r="E8" s="32" t="n">
        <v>2</v>
      </c>
      <c r="F8" s="32" t="n">
        <v>2</v>
      </c>
      <c r="G8" s="32" t="n">
        <v>4</v>
      </c>
      <c r="H8" s="32" t="n">
        <v>4</v>
      </c>
      <c r="I8" s="32" t="n">
        <v>4</v>
      </c>
      <c r="J8" s="33">
        <f>IF(RMODE="تقريب لأعلى",ROUNDUP(O8,0),ROUND(O8,0))</f>
        <v/>
      </c>
      <c r="K8" s="34" t="n"/>
      <c r="L8" s="35">
        <f>K8-J8</f>
        <v/>
      </c>
      <c r="M8" s="36">
        <f>IF(J8=0,"",K8/J8)</f>
        <v/>
      </c>
      <c r="N8" s="37">
        <f>IF(J8=0,"لا ينطبق",IF(K8&gt;=J8,"مكتمل",IF(K8=0,"لا يوجد","عجز")))</f>
        <v/>
      </c>
      <c r="O8" s="38">
        <f>IF(CAP&lt;=$D$4,D8*CAP/$D$4,IF(CAP&gt;=$I$4,I8*CAP/$I$4,INDEX($D8:$I8,$D$3)+$E$3*(INDEX($D8:$I8,$D$3+1)-INDEX($D8:$I8,$D$3))))</f>
        <v/>
      </c>
      <c r="P8" s="39" t="inlineStr"/>
    </row>
    <row r="9">
      <c r="A9" s="30" t="n">
        <v>5</v>
      </c>
      <c r="B9" s="31" t="inlineStr">
        <is>
          <t>طبيب</t>
        </is>
      </c>
      <c r="C9" s="5" t="inlineStr">
        <is>
          <t>أخصائي قلب أطفال</t>
        </is>
      </c>
      <c r="D9" s="32" t="n">
        <v>2</v>
      </c>
      <c r="E9" s="32" t="n">
        <v>2</v>
      </c>
      <c r="F9" s="32" t="n">
        <v>2</v>
      </c>
      <c r="G9" s="32" t="n">
        <v>3</v>
      </c>
      <c r="H9" s="32" t="n">
        <v>3</v>
      </c>
      <c r="I9" s="32" t="n">
        <v>3</v>
      </c>
      <c r="J9" s="33">
        <f>IF(RMODE="تقريب لأعلى",ROUNDUP(O9,0),ROUND(O9,0))</f>
        <v/>
      </c>
      <c r="K9" s="34" t="n"/>
      <c r="L9" s="35">
        <f>K9-J9</f>
        <v/>
      </c>
      <c r="M9" s="36">
        <f>IF(J9=0,"",K9/J9)</f>
        <v/>
      </c>
      <c r="N9" s="37">
        <f>IF(J9=0,"لا ينطبق",IF(K9&gt;=J9,"مكتمل",IF(K9=0,"لا يوجد","عجز")))</f>
        <v/>
      </c>
      <c r="O9" s="38">
        <f>IF(CAP&lt;=$D$4,D9*CAP/$D$4,IF(CAP&gt;=$I$4,I9*CAP/$I$4,INDEX($D9:$I9,$D$3)+$E$3*(INDEX($D9:$I9,$D$3+1)-INDEX($D9:$I9,$D$3))))</f>
        <v/>
      </c>
      <c r="P9" s="39" t="inlineStr"/>
    </row>
    <row r="10">
      <c r="A10" s="30" t="n">
        <v>6</v>
      </c>
      <c r="B10" s="31" t="inlineStr">
        <is>
          <t>طبيب</t>
        </is>
      </c>
      <c r="C10" s="5" t="inlineStr">
        <is>
          <t>مقيم قلب أطفال</t>
        </is>
      </c>
      <c r="D10" s="32" t="n">
        <v>3</v>
      </c>
      <c r="E10" s="32" t="n">
        <v>3</v>
      </c>
      <c r="F10" s="32" t="n">
        <v>3</v>
      </c>
      <c r="G10" s="32" t="n">
        <v>4</v>
      </c>
      <c r="H10" s="32" t="n">
        <v>4</v>
      </c>
      <c r="I10" s="32" t="n">
        <v>4</v>
      </c>
      <c r="J10" s="33">
        <f>IF(RMODE="تقريب لأعلى",ROUNDUP(O10,0),ROUND(O10,0))</f>
        <v/>
      </c>
      <c r="K10" s="34" t="n"/>
      <c r="L10" s="35">
        <f>K10-J10</f>
        <v/>
      </c>
      <c r="M10" s="36">
        <f>IF(J10=0,"",K10/J10)</f>
        <v/>
      </c>
      <c r="N10" s="37">
        <f>IF(J10=0,"لا ينطبق",IF(K10&gt;=J10,"مكتمل",IF(K10=0,"لا يوجد","عجز")))</f>
        <v/>
      </c>
      <c r="O10" s="38">
        <f>IF(CAP&lt;=$D$4,D10*CAP/$D$4,IF(CAP&gt;=$I$4,I10*CAP/$I$4,INDEX($D10:$I10,$D$3)+$E$3*(INDEX($D10:$I10,$D$3+1)-INDEX($D10:$I10,$D$3))))</f>
        <v/>
      </c>
      <c r="P10" s="39" t="inlineStr"/>
    </row>
    <row r="11">
      <c r="A11" s="30" t="n">
        <v>7</v>
      </c>
      <c r="B11" s="31" t="inlineStr">
        <is>
          <t>طبيب</t>
        </is>
      </c>
      <c r="C11" s="5" t="inlineStr">
        <is>
          <t>استشاري أعصاب أطفال</t>
        </is>
      </c>
      <c r="D11" s="32" t="n">
        <v>1</v>
      </c>
      <c r="E11" s="32" t="n">
        <v>1</v>
      </c>
      <c r="F11" s="32" t="n">
        <v>1</v>
      </c>
      <c r="G11" s="32" t="n">
        <v>4</v>
      </c>
      <c r="H11" s="32" t="n">
        <v>4</v>
      </c>
      <c r="I11" s="32" t="n">
        <v>4</v>
      </c>
      <c r="J11" s="33">
        <f>IF(RMODE="تقريب لأعلى",ROUNDUP(O11,0),ROUND(O11,0))</f>
        <v/>
      </c>
      <c r="K11" s="34" t="n"/>
      <c r="L11" s="35">
        <f>K11-J11</f>
        <v/>
      </c>
      <c r="M11" s="36">
        <f>IF(J11=0,"",K11/J11)</f>
        <v/>
      </c>
      <c r="N11" s="37">
        <f>IF(J11=0,"لا ينطبق",IF(K11&gt;=J11,"مكتمل",IF(K11=0,"لا يوجد","عجز")))</f>
        <v/>
      </c>
      <c r="O11" s="38">
        <f>IF(CAP&lt;=$D$4,D11*CAP/$D$4,IF(CAP&gt;=$I$4,I11*CAP/$I$4,INDEX($D11:$I11,$D$3)+$E$3*(INDEX($D11:$I11,$D$3+1)-INDEX($D11:$I11,$D$3))))</f>
        <v/>
      </c>
      <c r="P11" s="39" t="inlineStr"/>
    </row>
    <row r="12">
      <c r="A12" s="30" t="n">
        <v>8</v>
      </c>
      <c r="B12" s="31" t="inlineStr">
        <is>
          <t>طبيب</t>
        </is>
      </c>
      <c r="C12" s="5" t="inlineStr">
        <is>
          <t>أخصائي أعصاب أطفال</t>
        </is>
      </c>
      <c r="D12" s="32" t="n">
        <v>2</v>
      </c>
      <c r="E12" s="32" t="n">
        <v>2</v>
      </c>
      <c r="F12" s="32" t="n">
        <v>2</v>
      </c>
      <c r="G12" s="32" t="n">
        <v>3</v>
      </c>
      <c r="H12" s="32" t="n">
        <v>3</v>
      </c>
      <c r="I12" s="32" t="n">
        <v>3</v>
      </c>
      <c r="J12" s="33">
        <f>IF(RMODE="تقريب لأعلى",ROUNDUP(O12,0),ROUND(O12,0))</f>
        <v/>
      </c>
      <c r="K12" s="34" t="n"/>
      <c r="L12" s="35">
        <f>K12-J12</f>
        <v/>
      </c>
      <c r="M12" s="36">
        <f>IF(J12=0,"",K12/J12)</f>
        <v/>
      </c>
      <c r="N12" s="37">
        <f>IF(J12=0,"لا ينطبق",IF(K12&gt;=J12,"مكتمل",IF(K12=0,"لا يوجد","عجز")))</f>
        <v/>
      </c>
      <c r="O12" s="38">
        <f>IF(CAP&lt;=$D$4,D12*CAP/$D$4,IF(CAP&gt;=$I$4,I12*CAP/$I$4,INDEX($D12:$I12,$D$3)+$E$3*(INDEX($D12:$I12,$D$3+1)-INDEX($D12:$I12,$D$3))))</f>
        <v/>
      </c>
      <c r="P12" s="39" t="inlineStr"/>
    </row>
    <row r="13">
      <c r="A13" s="30" t="n">
        <v>9</v>
      </c>
      <c r="B13" s="31" t="inlineStr">
        <is>
          <t>طبيب</t>
        </is>
      </c>
      <c r="C13" s="5" t="inlineStr">
        <is>
          <t>استشاري كلى أطفال</t>
        </is>
      </c>
      <c r="D13" s="32" t="n">
        <v>2</v>
      </c>
      <c r="E13" s="32" t="n">
        <v>2</v>
      </c>
      <c r="F13" s="32" t="n">
        <v>2</v>
      </c>
      <c r="G13" s="32" t="n">
        <v>4</v>
      </c>
      <c r="H13" s="32" t="n">
        <v>4</v>
      </c>
      <c r="I13" s="32" t="n">
        <v>4</v>
      </c>
      <c r="J13" s="33">
        <f>IF(RMODE="تقريب لأعلى",ROUNDUP(O13,0),ROUND(O13,0))</f>
        <v/>
      </c>
      <c r="K13" s="34" t="n"/>
      <c r="L13" s="35">
        <f>K13-J13</f>
        <v/>
      </c>
      <c r="M13" s="36">
        <f>IF(J13=0,"",K13/J13)</f>
        <v/>
      </c>
      <c r="N13" s="37">
        <f>IF(J13=0,"لا ينطبق",IF(K13&gt;=J13,"مكتمل",IF(K13=0,"لا يوجد","عجز")))</f>
        <v/>
      </c>
      <c r="O13" s="38">
        <f>IF(CAP&lt;=$D$4,D13*CAP/$D$4,IF(CAP&gt;=$I$4,I13*CAP/$I$4,INDEX($D13:$I13,$D$3)+$E$3*(INDEX($D13:$I13,$D$3+1)-INDEX($D13:$I13,$D$3))))</f>
        <v/>
      </c>
      <c r="P13" s="39" t="inlineStr"/>
    </row>
    <row r="14">
      <c r="A14" s="30" t="n">
        <v>10</v>
      </c>
      <c r="B14" s="31" t="inlineStr">
        <is>
          <t>طبيب</t>
        </is>
      </c>
      <c r="C14" s="5" t="inlineStr">
        <is>
          <t>أخصائي كلى أطفال</t>
        </is>
      </c>
      <c r="D14" s="32" t="n">
        <v>2</v>
      </c>
      <c r="E14" s="32" t="n">
        <v>2</v>
      </c>
      <c r="F14" s="32" t="n">
        <v>2</v>
      </c>
      <c r="G14" s="32" t="n">
        <v>3</v>
      </c>
      <c r="H14" s="32" t="n">
        <v>3</v>
      </c>
      <c r="I14" s="32" t="n">
        <v>3</v>
      </c>
      <c r="J14" s="33">
        <f>IF(RMODE="تقريب لأعلى",ROUNDUP(O14,0),ROUND(O14,0))</f>
        <v/>
      </c>
      <c r="K14" s="34" t="n"/>
      <c r="L14" s="35">
        <f>K14-J14</f>
        <v/>
      </c>
      <c r="M14" s="36">
        <f>IF(J14=0,"",K14/J14)</f>
        <v/>
      </c>
      <c r="N14" s="37">
        <f>IF(J14=0,"لا ينطبق",IF(K14&gt;=J14,"مكتمل",IF(K14=0,"لا يوجد","عجز")))</f>
        <v/>
      </c>
      <c r="O14" s="38">
        <f>IF(CAP&lt;=$D$4,D14*CAP/$D$4,IF(CAP&gt;=$I$4,I14*CAP/$I$4,INDEX($D14:$I14,$D$3)+$E$3*(INDEX($D14:$I14,$D$3+1)-INDEX($D14:$I14,$D$3))))</f>
        <v/>
      </c>
      <c r="P14" s="39" t="inlineStr"/>
    </row>
    <row r="15">
      <c r="A15" s="30" t="n">
        <v>11</v>
      </c>
      <c r="B15" s="31" t="inlineStr">
        <is>
          <t>طبيب</t>
        </is>
      </c>
      <c r="C15" s="5" t="inlineStr">
        <is>
          <t>مقيم كلى أطفال</t>
        </is>
      </c>
      <c r="D15" s="32" t="n">
        <v>3</v>
      </c>
      <c r="E15" s="32" t="n">
        <v>3</v>
      </c>
      <c r="F15" s="32" t="n">
        <v>3</v>
      </c>
      <c r="G15" s="32" t="n">
        <v>6</v>
      </c>
      <c r="H15" s="32" t="n">
        <v>6</v>
      </c>
      <c r="I15" s="32" t="n">
        <v>6</v>
      </c>
      <c r="J15" s="33">
        <f>IF(RMODE="تقريب لأعلى",ROUNDUP(O15,0),ROUND(O15,0))</f>
        <v/>
      </c>
      <c r="K15" s="34" t="n"/>
      <c r="L15" s="35">
        <f>K15-J15</f>
        <v/>
      </c>
      <c r="M15" s="36">
        <f>IF(J15=0,"",K15/J15)</f>
        <v/>
      </c>
      <c r="N15" s="37">
        <f>IF(J15=0,"لا ينطبق",IF(K15&gt;=J15,"مكتمل",IF(K15=0,"لا يوجد","عجز")))</f>
        <v/>
      </c>
      <c r="O15" s="38">
        <f>IF(CAP&lt;=$D$4,D15*CAP/$D$4,IF(CAP&gt;=$I$4,I15*CAP/$I$4,INDEX($D15:$I15,$D$3)+$E$3*(INDEX($D15:$I15,$D$3+1)-INDEX($D15:$I15,$D$3))))</f>
        <v/>
      </c>
      <c r="P15" s="39" t="inlineStr"/>
    </row>
    <row r="16">
      <c r="A16" s="30" t="n">
        <v>12</v>
      </c>
      <c r="B16" s="31" t="inlineStr">
        <is>
          <t>طبيب</t>
        </is>
      </c>
      <c r="C16" s="5" t="inlineStr">
        <is>
          <t>استشاري غدد وسكري أطفال</t>
        </is>
      </c>
      <c r="D16" s="32" t="n">
        <v>2</v>
      </c>
      <c r="E16" s="32" t="n">
        <v>2</v>
      </c>
      <c r="F16" s="32" t="n">
        <v>2</v>
      </c>
      <c r="G16" s="32" t="n">
        <v>4</v>
      </c>
      <c r="H16" s="32" t="n">
        <v>4</v>
      </c>
      <c r="I16" s="32" t="n">
        <v>6</v>
      </c>
      <c r="J16" s="33">
        <f>IF(RMODE="تقريب لأعلى",ROUNDUP(O16,0),ROUND(O16,0))</f>
        <v/>
      </c>
      <c r="K16" s="34" t="n"/>
      <c r="L16" s="35">
        <f>K16-J16</f>
        <v/>
      </c>
      <c r="M16" s="36">
        <f>IF(J16=0,"",K16/J16)</f>
        <v/>
      </c>
      <c r="N16" s="37">
        <f>IF(J16=0,"لا ينطبق",IF(K16&gt;=J16,"مكتمل",IF(K16=0,"لا يوجد","عجز")))</f>
        <v/>
      </c>
      <c r="O16" s="38">
        <f>IF(CAP&lt;=$D$4,D16*CAP/$D$4,IF(CAP&gt;=$I$4,I16*CAP/$I$4,INDEX($D16:$I16,$D$3)+$E$3*(INDEX($D16:$I16,$D$3+1)-INDEX($D16:$I16,$D$3))))</f>
        <v/>
      </c>
      <c r="P16" s="39" t="inlineStr"/>
    </row>
    <row r="17">
      <c r="A17" s="30" t="n">
        <v>13</v>
      </c>
      <c r="B17" s="31" t="inlineStr">
        <is>
          <t>طبيب</t>
        </is>
      </c>
      <c r="C17" s="5" t="inlineStr">
        <is>
          <t>أخصائي غدد وسكري أطفال</t>
        </is>
      </c>
      <c r="D17" s="32" t="n">
        <v>2</v>
      </c>
      <c r="E17" s="32" t="n">
        <v>2</v>
      </c>
      <c r="F17" s="32" t="n">
        <v>2</v>
      </c>
      <c r="G17" s="32" t="n">
        <v>3</v>
      </c>
      <c r="H17" s="32" t="n">
        <v>3</v>
      </c>
      <c r="I17" s="32" t="n">
        <v>4</v>
      </c>
      <c r="J17" s="33">
        <f>IF(RMODE="تقريب لأعلى",ROUNDUP(O17,0),ROUND(O17,0))</f>
        <v/>
      </c>
      <c r="K17" s="34" t="n"/>
      <c r="L17" s="35">
        <f>K17-J17</f>
        <v/>
      </c>
      <c r="M17" s="36">
        <f>IF(J17=0,"",K17/J17)</f>
        <v/>
      </c>
      <c r="N17" s="37">
        <f>IF(J17=0,"لا ينطبق",IF(K17&gt;=J17,"مكتمل",IF(K17=0,"لا يوجد","عجز")))</f>
        <v/>
      </c>
      <c r="O17" s="38">
        <f>IF(CAP&lt;=$D$4,D17*CAP/$D$4,IF(CAP&gt;=$I$4,I17*CAP/$I$4,INDEX($D17:$I17,$D$3)+$E$3*(INDEX($D17:$I17,$D$3+1)-INDEX($D17:$I17,$D$3))))</f>
        <v/>
      </c>
      <c r="P17" s="39" t="inlineStr"/>
    </row>
    <row r="18">
      <c r="A18" s="30" t="n">
        <v>14</v>
      </c>
      <c r="B18" s="31" t="inlineStr">
        <is>
          <t>طبيب</t>
        </is>
      </c>
      <c r="C18" s="5" t="inlineStr">
        <is>
          <t>استشاري أمراض دم وأورام أطفال</t>
        </is>
      </c>
      <c r="D18" s="32" t="n">
        <v>1</v>
      </c>
      <c r="E18" s="32" t="n">
        <v>1</v>
      </c>
      <c r="F18" s="32" t="n">
        <v>1</v>
      </c>
      <c r="G18" s="32" t="n">
        <v>4</v>
      </c>
      <c r="H18" s="32" t="n">
        <v>4</v>
      </c>
      <c r="I18" s="32" t="n">
        <v>4</v>
      </c>
      <c r="J18" s="33">
        <f>IF(RMODE="تقريب لأعلى",ROUNDUP(O18,0),ROUND(O18,0))</f>
        <v/>
      </c>
      <c r="K18" s="34" t="n"/>
      <c r="L18" s="35">
        <f>K18-J18</f>
        <v/>
      </c>
      <c r="M18" s="36">
        <f>IF(J18=0,"",K18/J18)</f>
        <v/>
      </c>
      <c r="N18" s="37">
        <f>IF(J18=0,"لا ينطبق",IF(K18&gt;=J18,"مكتمل",IF(K18=0,"لا يوجد","عجز")))</f>
        <v/>
      </c>
      <c r="O18" s="38">
        <f>IF(CAP&lt;=$D$4,D18*CAP/$D$4,IF(CAP&gt;=$I$4,I18*CAP/$I$4,INDEX($D18:$I18,$D$3)+$E$3*(INDEX($D18:$I18,$D$3+1)-INDEX($D18:$I18,$D$3))))</f>
        <v/>
      </c>
      <c r="P18" s="39" t="inlineStr"/>
    </row>
    <row r="19">
      <c r="A19" s="30" t="n">
        <v>15</v>
      </c>
      <c r="B19" s="31" t="inlineStr">
        <is>
          <t>طبيب</t>
        </is>
      </c>
      <c r="C19" s="5" t="inlineStr">
        <is>
          <t>أخصائي أمراض دم وأورام أطفال</t>
        </is>
      </c>
      <c r="D19" s="32" t="n">
        <v>1</v>
      </c>
      <c r="E19" s="32" t="n">
        <v>1</v>
      </c>
      <c r="F19" s="32" t="n">
        <v>1</v>
      </c>
      <c r="G19" s="32" t="n">
        <v>3</v>
      </c>
      <c r="H19" s="32" t="n">
        <v>3</v>
      </c>
      <c r="I19" s="32" t="n">
        <v>3</v>
      </c>
      <c r="J19" s="33">
        <f>IF(RMODE="تقريب لأعلى",ROUNDUP(O19,0),ROUND(O19,0))</f>
        <v/>
      </c>
      <c r="K19" s="34" t="n"/>
      <c r="L19" s="35">
        <f>K19-J19</f>
        <v/>
      </c>
      <c r="M19" s="36">
        <f>IF(J19=0,"",K19/J19)</f>
        <v/>
      </c>
      <c r="N19" s="37">
        <f>IF(J19=0,"لا ينطبق",IF(K19&gt;=J19,"مكتمل",IF(K19=0,"لا يوجد","عجز")))</f>
        <v/>
      </c>
      <c r="O19" s="38">
        <f>IF(CAP&lt;=$D$4,D19*CAP/$D$4,IF(CAP&gt;=$I$4,I19*CAP/$I$4,INDEX($D19:$I19,$D$3)+$E$3*(INDEX($D19:$I19,$D$3+1)-INDEX($D19:$I19,$D$3))))</f>
        <v/>
      </c>
      <c r="P19" s="39" t="inlineStr"/>
    </row>
    <row r="20">
      <c r="A20" s="30" t="n">
        <v>16</v>
      </c>
      <c r="B20" s="31" t="inlineStr">
        <is>
          <t>طبيب</t>
        </is>
      </c>
      <c r="C20" s="5" t="inlineStr">
        <is>
          <t>استشاري أمراض صدرية أطفال</t>
        </is>
      </c>
      <c r="D20" s="32" t="n">
        <v>1</v>
      </c>
      <c r="E20" s="32" t="n">
        <v>1</v>
      </c>
      <c r="F20" s="32" t="n">
        <v>1</v>
      </c>
      <c r="G20" s="32" t="n">
        <v>4</v>
      </c>
      <c r="H20" s="32" t="n">
        <v>4</v>
      </c>
      <c r="I20" s="32" t="n">
        <v>4</v>
      </c>
      <c r="J20" s="33">
        <f>IF(RMODE="تقريب لأعلى",ROUNDUP(O20,0),ROUND(O20,0))</f>
        <v/>
      </c>
      <c r="K20" s="34" t="n"/>
      <c r="L20" s="35">
        <f>K20-J20</f>
        <v/>
      </c>
      <c r="M20" s="36">
        <f>IF(J20=0,"",K20/J20)</f>
        <v/>
      </c>
      <c r="N20" s="37">
        <f>IF(J20=0,"لا ينطبق",IF(K20&gt;=J20,"مكتمل",IF(K20=0,"لا يوجد","عجز")))</f>
        <v/>
      </c>
      <c r="O20" s="38">
        <f>IF(CAP&lt;=$D$4,D20*CAP/$D$4,IF(CAP&gt;=$I$4,I20*CAP/$I$4,INDEX($D20:$I20,$D$3)+$E$3*(INDEX($D20:$I20,$D$3+1)-INDEX($D20:$I20,$D$3))))</f>
        <v/>
      </c>
      <c r="P20" s="39" t="inlineStr"/>
    </row>
    <row r="21">
      <c r="A21" s="30" t="n">
        <v>17</v>
      </c>
      <c r="B21" s="31" t="inlineStr">
        <is>
          <t>طبيب</t>
        </is>
      </c>
      <c r="C21" s="5" t="inlineStr">
        <is>
          <t>أخصائي أمراض صدرية أطفال</t>
        </is>
      </c>
      <c r="D21" s="32" t="n">
        <v>2</v>
      </c>
      <c r="E21" s="32" t="n">
        <v>2</v>
      </c>
      <c r="F21" s="32" t="n">
        <v>2</v>
      </c>
      <c r="G21" s="32" t="n">
        <v>3</v>
      </c>
      <c r="H21" s="32" t="n">
        <v>3</v>
      </c>
      <c r="I21" s="32" t="n">
        <v>3</v>
      </c>
      <c r="J21" s="33">
        <f>IF(RMODE="تقريب لأعلى",ROUNDUP(O21,0),ROUND(O21,0))</f>
        <v/>
      </c>
      <c r="K21" s="34" t="n"/>
      <c r="L21" s="35">
        <f>K21-J21</f>
        <v/>
      </c>
      <c r="M21" s="36">
        <f>IF(J21=0,"",K21/J21)</f>
        <v/>
      </c>
      <c r="N21" s="37">
        <f>IF(J21=0,"لا ينطبق",IF(K21&gt;=J21,"مكتمل",IF(K21=0,"لا يوجد","عجز")))</f>
        <v/>
      </c>
      <c r="O21" s="38">
        <f>IF(CAP&lt;=$D$4,D21*CAP/$D$4,IF(CAP&gt;=$I$4,I21*CAP/$I$4,INDEX($D21:$I21,$D$3)+$E$3*(INDEX($D21:$I21,$D$3+1)-INDEX($D21:$I21,$D$3))))</f>
        <v/>
      </c>
      <c r="P21" s="39" t="inlineStr"/>
    </row>
    <row r="22">
      <c r="A22" s="30" t="n">
        <v>18</v>
      </c>
      <c r="B22" s="31" t="inlineStr">
        <is>
          <t>طبيب</t>
        </is>
      </c>
      <c r="C22" s="5" t="inlineStr">
        <is>
          <t>مقيم أمراض صدرية أطفال</t>
        </is>
      </c>
      <c r="D22" s="32" t="n">
        <v>0</v>
      </c>
      <c r="E22" s="32" t="n">
        <v>0</v>
      </c>
      <c r="F22" s="32" t="n">
        <v>0</v>
      </c>
      <c r="G22" s="32" t="n">
        <v>4</v>
      </c>
      <c r="H22" s="32" t="n">
        <v>4</v>
      </c>
      <c r="I22" s="32" t="n">
        <v>4</v>
      </c>
      <c r="J22" s="33">
        <f>IF(RMODE="تقريب لأعلى",ROUNDUP(O22,0),ROUND(O22,0))</f>
        <v/>
      </c>
      <c r="K22" s="34" t="n"/>
      <c r="L22" s="35">
        <f>K22-J22</f>
        <v/>
      </c>
      <c r="M22" s="36">
        <f>IF(J22=0,"",K22/J22)</f>
        <v/>
      </c>
      <c r="N22" s="37">
        <f>IF(J22=0,"لا ينطبق",IF(K22&gt;=J22,"مكتمل",IF(K22=0,"لا يوجد","عجز")))</f>
        <v/>
      </c>
      <c r="O22" s="38">
        <f>IF(CAP&lt;=$D$4,D22*CAP/$D$4,IF(CAP&gt;=$I$4,I22*CAP/$I$4,INDEX($D22:$I22,$D$3)+$E$3*(INDEX($D22:$I22,$D$3+1)-INDEX($D22:$I22,$D$3))))</f>
        <v/>
      </c>
      <c r="P22" s="39" t="inlineStr"/>
    </row>
    <row r="23">
      <c r="A23" s="30" t="n">
        <v>19</v>
      </c>
      <c r="B23" s="31" t="inlineStr">
        <is>
          <t>طبيب</t>
        </is>
      </c>
      <c r="C23" s="5" t="inlineStr">
        <is>
          <t>استشاري أمراض جهاز هضمي أطفال</t>
        </is>
      </c>
      <c r="D23" s="32" t="n">
        <v>1</v>
      </c>
      <c r="E23" s="32" t="n">
        <v>1</v>
      </c>
      <c r="F23" s="32" t="n">
        <v>1</v>
      </c>
      <c r="G23" s="32" t="n">
        <v>4</v>
      </c>
      <c r="H23" s="32" t="n">
        <v>4</v>
      </c>
      <c r="I23" s="32" t="n">
        <v>4</v>
      </c>
      <c r="J23" s="33">
        <f>IF(RMODE="تقريب لأعلى",ROUNDUP(O23,0),ROUND(O23,0))</f>
        <v/>
      </c>
      <c r="K23" s="34" t="n"/>
      <c r="L23" s="35">
        <f>K23-J23</f>
        <v/>
      </c>
      <c r="M23" s="36">
        <f>IF(J23=0,"",K23/J23)</f>
        <v/>
      </c>
      <c r="N23" s="37">
        <f>IF(J23=0,"لا ينطبق",IF(K23&gt;=J23,"مكتمل",IF(K23=0,"لا يوجد","عجز")))</f>
        <v/>
      </c>
      <c r="O23" s="38">
        <f>IF(CAP&lt;=$D$4,D23*CAP/$D$4,IF(CAP&gt;=$I$4,I23*CAP/$I$4,INDEX($D23:$I23,$D$3)+$E$3*(INDEX($D23:$I23,$D$3+1)-INDEX($D23:$I23,$D$3))))</f>
        <v/>
      </c>
      <c r="P23" s="39" t="inlineStr"/>
    </row>
    <row r="24">
      <c r="A24" s="30" t="n">
        <v>20</v>
      </c>
      <c r="B24" s="31" t="inlineStr">
        <is>
          <t>طبيب</t>
        </is>
      </c>
      <c r="C24" s="5" t="inlineStr">
        <is>
          <t>أخصائي أمراض جهاز هضمي أطفال</t>
        </is>
      </c>
      <c r="D24" s="32" t="n">
        <v>1</v>
      </c>
      <c r="E24" s="32" t="n">
        <v>1</v>
      </c>
      <c r="F24" s="32" t="n">
        <v>1</v>
      </c>
      <c r="G24" s="32" t="n">
        <v>3</v>
      </c>
      <c r="H24" s="32" t="n">
        <v>3</v>
      </c>
      <c r="I24" s="32" t="n">
        <v>4</v>
      </c>
      <c r="J24" s="33">
        <f>IF(RMODE="تقريب لأعلى",ROUNDUP(O24,0),ROUND(O24,0))</f>
        <v/>
      </c>
      <c r="K24" s="34" t="n"/>
      <c r="L24" s="35">
        <f>K24-J24</f>
        <v/>
      </c>
      <c r="M24" s="36">
        <f>IF(J24=0,"",K24/J24)</f>
        <v/>
      </c>
      <c r="N24" s="37">
        <f>IF(J24=0,"لا ينطبق",IF(K24&gt;=J24,"مكتمل",IF(K24=0,"لا يوجد","عجز")))</f>
        <v/>
      </c>
      <c r="O24" s="38">
        <f>IF(CAP&lt;=$D$4,D24*CAP/$D$4,IF(CAP&gt;=$I$4,I24*CAP/$I$4,INDEX($D24:$I24,$D$3)+$E$3*(INDEX($D24:$I24,$D$3+1)-INDEX($D24:$I24,$D$3))))</f>
        <v/>
      </c>
      <c r="P24" s="39" t="inlineStr"/>
    </row>
    <row r="25">
      <c r="A25" s="30" t="n">
        <v>21</v>
      </c>
      <c r="B25" s="31" t="inlineStr">
        <is>
          <t>طبيب</t>
        </is>
      </c>
      <c r="C25" s="5" t="inlineStr">
        <is>
          <t>استشاري أمراض استقلابية ووراثية</t>
        </is>
      </c>
      <c r="D25" s="32" t="n">
        <v>1</v>
      </c>
      <c r="E25" s="32" t="n">
        <v>1</v>
      </c>
      <c r="F25" s="32" t="n">
        <v>1</v>
      </c>
      <c r="G25" s="32" t="n">
        <v>4</v>
      </c>
      <c r="H25" s="32" t="n">
        <v>4</v>
      </c>
      <c r="I25" s="32" t="n">
        <v>4</v>
      </c>
      <c r="J25" s="33">
        <f>IF(RMODE="تقريب لأعلى",ROUNDUP(O25,0),ROUND(O25,0))</f>
        <v/>
      </c>
      <c r="K25" s="34" t="n"/>
      <c r="L25" s="35">
        <f>K25-J25</f>
        <v/>
      </c>
      <c r="M25" s="36">
        <f>IF(J25=0,"",K25/J25)</f>
        <v/>
      </c>
      <c r="N25" s="37">
        <f>IF(J25=0,"لا ينطبق",IF(K25&gt;=J25,"مكتمل",IF(K25=0,"لا يوجد","عجز")))</f>
        <v/>
      </c>
      <c r="O25" s="38">
        <f>IF(CAP&lt;=$D$4,D25*CAP/$D$4,IF(CAP&gt;=$I$4,I25*CAP/$I$4,INDEX($D25:$I25,$D$3)+$E$3*(INDEX($D25:$I25,$D$3+1)-INDEX($D25:$I25,$D$3))))</f>
        <v/>
      </c>
      <c r="P25" s="39" t="inlineStr"/>
    </row>
    <row r="26">
      <c r="A26" s="30" t="n">
        <v>22</v>
      </c>
      <c r="B26" s="31" t="inlineStr">
        <is>
          <t>طبيب</t>
        </is>
      </c>
      <c r="C26" s="5" t="inlineStr">
        <is>
          <t>أخصائي أمراض استقلابية ووراثية</t>
        </is>
      </c>
      <c r="D26" s="32" t="n">
        <v>1</v>
      </c>
      <c r="E26" s="32" t="n">
        <v>1</v>
      </c>
      <c r="F26" s="32" t="n">
        <v>1</v>
      </c>
      <c r="G26" s="32" t="n">
        <v>3</v>
      </c>
      <c r="H26" s="32" t="n">
        <v>3</v>
      </c>
      <c r="I26" s="32" t="n">
        <v>3</v>
      </c>
      <c r="J26" s="33">
        <f>IF(RMODE="تقريب لأعلى",ROUNDUP(O26,0),ROUND(O26,0))</f>
        <v/>
      </c>
      <c r="K26" s="34" t="n"/>
      <c r="L26" s="35">
        <f>K26-J26</f>
        <v/>
      </c>
      <c r="M26" s="36">
        <f>IF(J26=0,"",K26/J26)</f>
        <v/>
      </c>
      <c r="N26" s="37">
        <f>IF(J26=0,"لا ينطبق",IF(K26&gt;=J26,"مكتمل",IF(K26=0,"لا يوجد","عجز")))</f>
        <v/>
      </c>
      <c r="O26" s="38">
        <f>IF(CAP&lt;=$D$4,D26*CAP/$D$4,IF(CAP&gt;=$I$4,I26*CAP/$I$4,INDEX($D26:$I26,$D$3)+$E$3*(INDEX($D26:$I26,$D$3+1)-INDEX($D26:$I26,$D$3))))</f>
        <v/>
      </c>
      <c r="P26" s="39" t="inlineStr"/>
    </row>
    <row r="27">
      <c r="A27" s="30" t="n">
        <v>23</v>
      </c>
      <c r="B27" s="31" t="inlineStr">
        <is>
          <t>طبيب</t>
        </is>
      </c>
      <c r="C27" s="5" t="inlineStr">
        <is>
          <t>استشاري أمراض مناعة وحساسية أطفال</t>
        </is>
      </c>
      <c r="D27" s="32" t="n">
        <v>1</v>
      </c>
      <c r="E27" s="32" t="n">
        <v>1</v>
      </c>
      <c r="F27" s="32" t="n">
        <v>1</v>
      </c>
      <c r="G27" s="32" t="n">
        <v>4</v>
      </c>
      <c r="H27" s="32" t="n">
        <v>4</v>
      </c>
      <c r="I27" s="32" t="n">
        <v>4</v>
      </c>
      <c r="J27" s="33">
        <f>IF(RMODE="تقريب لأعلى",ROUNDUP(O27,0),ROUND(O27,0))</f>
        <v/>
      </c>
      <c r="K27" s="34" t="n"/>
      <c r="L27" s="35">
        <f>K27-J27</f>
        <v/>
      </c>
      <c r="M27" s="36">
        <f>IF(J27=0,"",K27/J27)</f>
        <v/>
      </c>
      <c r="N27" s="37">
        <f>IF(J27=0,"لا ينطبق",IF(K27&gt;=J27,"مكتمل",IF(K27=0,"لا يوجد","عجز")))</f>
        <v/>
      </c>
      <c r="O27" s="38">
        <f>IF(CAP&lt;=$D$4,D27*CAP/$D$4,IF(CAP&gt;=$I$4,I27*CAP/$I$4,INDEX($D27:$I27,$D$3)+$E$3*(INDEX($D27:$I27,$D$3+1)-INDEX($D27:$I27,$D$3))))</f>
        <v/>
      </c>
      <c r="P27" s="39" t="inlineStr"/>
    </row>
    <row r="28">
      <c r="A28" s="30" t="n">
        <v>24</v>
      </c>
      <c r="B28" s="31" t="inlineStr">
        <is>
          <t>طبيب</t>
        </is>
      </c>
      <c r="C28" s="5" t="inlineStr">
        <is>
          <t>أخصائي أمراض مناعة وحساسية أطفال</t>
        </is>
      </c>
      <c r="D28" s="32" t="n">
        <v>1</v>
      </c>
      <c r="E28" s="32" t="n">
        <v>1</v>
      </c>
      <c r="F28" s="32" t="n">
        <v>1</v>
      </c>
      <c r="G28" s="32" t="n">
        <v>3</v>
      </c>
      <c r="H28" s="32" t="n">
        <v>3</v>
      </c>
      <c r="I28" s="32" t="n">
        <v>3</v>
      </c>
      <c r="J28" s="33">
        <f>IF(RMODE="تقريب لأعلى",ROUNDUP(O28,0),ROUND(O28,0))</f>
        <v/>
      </c>
      <c r="K28" s="34" t="n"/>
      <c r="L28" s="35">
        <f>K28-J28</f>
        <v/>
      </c>
      <c r="M28" s="36">
        <f>IF(J28=0,"",K28/J28)</f>
        <v/>
      </c>
      <c r="N28" s="37">
        <f>IF(J28=0,"لا ينطبق",IF(K28&gt;=J28,"مكتمل",IF(K28=0,"لا يوجد","عجز")))</f>
        <v/>
      </c>
      <c r="O28" s="38">
        <f>IF(CAP&lt;=$D$4,D28*CAP/$D$4,IF(CAP&gt;=$I$4,I28*CAP/$I$4,INDEX($D28:$I28,$D$3)+$E$3*(INDEX($D28:$I28,$D$3+1)-INDEX($D28:$I28,$D$3))))</f>
        <v/>
      </c>
      <c r="P28" s="39" t="inlineStr"/>
    </row>
    <row r="29">
      <c r="A29" s="30" t="n">
        <v>25</v>
      </c>
      <c r="B29" s="31" t="inlineStr">
        <is>
          <t>طبيب</t>
        </is>
      </c>
      <c r="C29" s="5" t="inlineStr">
        <is>
          <t>استشاري أمراض معدية أطفال</t>
        </is>
      </c>
      <c r="D29" s="32" t="n">
        <v>1</v>
      </c>
      <c r="E29" s="32" t="n">
        <v>1</v>
      </c>
      <c r="F29" s="32" t="n">
        <v>1</v>
      </c>
      <c r="G29" s="32" t="n">
        <v>4</v>
      </c>
      <c r="H29" s="32" t="n">
        <v>4</v>
      </c>
      <c r="I29" s="32" t="n">
        <v>4</v>
      </c>
      <c r="J29" s="33">
        <f>IF(RMODE="تقريب لأعلى",ROUNDUP(O29,0),ROUND(O29,0))</f>
        <v/>
      </c>
      <c r="K29" s="34" t="n"/>
      <c r="L29" s="35">
        <f>K29-J29</f>
        <v/>
      </c>
      <c r="M29" s="36">
        <f>IF(J29=0,"",K29/J29)</f>
        <v/>
      </c>
      <c r="N29" s="37">
        <f>IF(J29=0,"لا ينطبق",IF(K29&gt;=J29,"مكتمل",IF(K29=0,"لا يوجد","عجز")))</f>
        <v/>
      </c>
      <c r="O29" s="38">
        <f>IF(CAP&lt;=$D$4,D29*CAP/$D$4,IF(CAP&gt;=$I$4,I29*CAP/$I$4,INDEX($D29:$I29,$D$3)+$E$3*(INDEX($D29:$I29,$D$3+1)-INDEX($D29:$I29,$D$3))))</f>
        <v/>
      </c>
      <c r="P29" s="39" t="inlineStr"/>
    </row>
    <row r="30">
      <c r="A30" s="30" t="n">
        <v>26</v>
      </c>
      <c r="B30" s="31" t="inlineStr">
        <is>
          <t>طبيب</t>
        </is>
      </c>
      <c r="C30" s="5" t="inlineStr">
        <is>
          <t>أخصائي أمراض معدية أطفال</t>
        </is>
      </c>
      <c r="D30" s="32" t="n">
        <v>1</v>
      </c>
      <c r="E30" s="32" t="n">
        <v>1</v>
      </c>
      <c r="F30" s="32" t="n">
        <v>1</v>
      </c>
      <c r="G30" s="32" t="n">
        <v>3</v>
      </c>
      <c r="H30" s="32" t="n">
        <v>3</v>
      </c>
      <c r="I30" s="32" t="n">
        <v>3</v>
      </c>
      <c r="J30" s="33">
        <f>IF(RMODE="تقريب لأعلى",ROUNDUP(O30,0),ROUND(O30,0))</f>
        <v/>
      </c>
      <c r="K30" s="34" t="n"/>
      <c r="L30" s="35">
        <f>K30-J30</f>
        <v/>
      </c>
      <c r="M30" s="36">
        <f>IF(J30=0,"",K30/J30)</f>
        <v/>
      </c>
      <c r="N30" s="37">
        <f>IF(J30=0,"لا ينطبق",IF(K30&gt;=J30,"مكتمل",IF(K30=0,"لا يوجد","عجز")))</f>
        <v/>
      </c>
      <c r="O30" s="38">
        <f>IF(CAP&lt;=$D$4,D30*CAP/$D$4,IF(CAP&gt;=$I$4,I30*CAP/$I$4,INDEX($D30:$I30,$D$3)+$E$3*(INDEX($D30:$I30,$D$3+1)-INDEX($D30:$I30,$D$3))))</f>
        <v/>
      </c>
      <c r="P30" s="39" t="inlineStr"/>
    </row>
    <row r="31">
      <c r="A31" s="30" t="n">
        <v>27</v>
      </c>
      <c r="B31" s="31" t="inlineStr">
        <is>
          <t>طبيب</t>
        </is>
      </c>
      <c r="C31" s="5" t="inlineStr">
        <is>
          <t>استشاري روماتيزم أطفال</t>
        </is>
      </c>
      <c r="D31" s="32" t="n">
        <v>1</v>
      </c>
      <c r="E31" s="32" t="n">
        <v>1</v>
      </c>
      <c r="F31" s="32" t="n">
        <v>1</v>
      </c>
      <c r="G31" s="32" t="n">
        <v>2</v>
      </c>
      <c r="H31" s="32" t="n">
        <v>2</v>
      </c>
      <c r="I31" s="32" t="n">
        <v>2</v>
      </c>
      <c r="J31" s="33">
        <f>IF(RMODE="تقريب لأعلى",ROUNDUP(O31,0),ROUND(O31,0))</f>
        <v/>
      </c>
      <c r="K31" s="34" t="n"/>
      <c r="L31" s="35">
        <f>K31-J31</f>
        <v/>
      </c>
      <c r="M31" s="36">
        <f>IF(J31=0,"",K31/J31)</f>
        <v/>
      </c>
      <c r="N31" s="37">
        <f>IF(J31=0,"لا ينطبق",IF(K31&gt;=J31,"مكتمل",IF(K31=0,"لا يوجد","عجز")))</f>
        <v/>
      </c>
      <c r="O31" s="38">
        <f>IF(CAP&lt;=$D$4,D31*CAP/$D$4,IF(CAP&gt;=$I$4,I31*CAP/$I$4,INDEX($D31:$I31,$D$3)+$E$3*(INDEX($D31:$I31,$D$3+1)-INDEX($D31:$I31,$D$3))))</f>
        <v/>
      </c>
      <c r="P31" s="39" t="inlineStr"/>
    </row>
    <row r="32">
      <c r="A32" s="30" t="n">
        <v>28</v>
      </c>
      <c r="B32" s="31" t="inlineStr">
        <is>
          <t>طبيب</t>
        </is>
      </c>
      <c r="C32" s="5" t="inlineStr">
        <is>
          <t>أخصائي روماتيزم أطفال</t>
        </is>
      </c>
      <c r="D32" s="32" t="n">
        <v>1</v>
      </c>
      <c r="E32" s="32" t="n">
        <v>1</v>
      </c>
      <c r="F32" s="32" t="n">
        <v>1</v>
      </c>
      <c r="G32" s="32" t="n">
        <v>2</v>
      </c>
      <c r="H32" s="32" t="n">
        <v>2</v>
      </c>
      <c r="I32" s="32" t="n">
        <v>2</v>
      </c>
      <c r="J32" s="33">
        <f>IF(RMODE="تقريب لأعلى",ROUNDUP(O32,0),ROUND(O32,0))</f>
        <v/>
      </c>
      <c r="K32" s="34" t="n"/>
      <c r="L32" s="35">
        <f>K32-J32</f>
        <v/>
      </c>
      <c r="M32" s="36">
        <f>IF(J32=0,"",K32/J32)</f>
        <v/>
      </c>
      <c r="N32" s="37">
        <f>IF(J32=0,"لا ينطبق",IF(K32&gt;=J32,"مكتمل",IF(K32=0,"لا يوجد","عجز")))</f>
        <v/>
      </c>
      <c r="O32" s="38">
        <f>IF(CAP&lt;=$D$4,D32*CAP/$D$4,IF(CAP&gt;=$I$4,I32*CAP/$I$4,INDEX($D32:$I32,$D$3)+$E$3*(INDEX($D32:$I32,$D$3+1)-INDEX($D32:$I32,$D$3))))</f>
        <v/>
      </c>
      <c r="P32" s="39" t="inlineStr"/>
    </row>
    <row r="33">
      <c r="A33" s="30" t="n">
        <v>29</v>
      </c>
      <c r="B33" s="31" t="inlineStr">
        <is>
          <t>طبيب</t>
        </is>
      </c>
      <c r="C33" s="5" t="inlineStr">
        <is>
          <t>استشاري تطور ونمو أطفال</t>
        </is>
      </c>
      <c r="D33" s="32" t="n">
        <v>1</v>
      </c>
      <c r="E33" s="32" t="n">
        <v>1</v>
      </c>
      <c r="F33" s="32" t="n">
        <v>1</v>
      </c>
      <c r="G33" s="32" t="n">
        <v>2</v>
      </c>
      <c r="H33" s="32" t="n">
        <v>2</v>
      </c>
      <c r="I33" s="32" t="n">
        <v>2</v>
      </c>
      <c r="J33" s="33">
        <f>IF(RMODE="تقريب لأعلى",ROUNDUP(O33,0),ROUND(O33,0))</f>
        <v/>
      </c>
      <c r="K33" s="34" t="n"/>
      <c r="L33" s="35">
        <f>K33-J33</f>
        <v/>
      </c>
      <c r="M33" s="36">
        <f>IF(J33=0,"",K33/J33)</f>
        <v/>
      </c>
      <c r="N33" s="37">
        <f>IF(J33=0,"لا ينطبق",IF(K33&gt;=J33,"مكتمل",IF(K33=0,"لا يوجد","عجز")))</f>
        <v/>
      </c>
      <c r="O33" s="38">
        <f>IF(CAP&lt;=$D$4,D33*CAP/$D$4,IF(CAP&gt;=$I$4,I33*CAP/$I$4,INDEX($D33:$I33,$D$3)+$E$3*(INDEX($D33:$I33,$D$3+1)-INDEX($D33:$I33,$D$3))))</f>
        <v/>
      </c>
      <c r="P33" s="39" t="inlineStr"/>
    </row>
    <row r="34">
      <c r="A34" s="30" t="n">
        <v>30</v>
      </c>
      <c r="B34" s="31" t="inlineStr">
        <is>
          <t>طبيب</t>
        </is>
      </c>
      <c r="C34" s="5" t="inlineStr">
        <is>
          <t>أخصائي تطور ونمو أطفال</t>
        </is>
      </c>
      <c r="D34" s="32" t="n">
        <v>1</v>
      </c>
      <c r="E34" s="32" t="n">
        <v>1</v>
      </c>
      <c r="F34" s="32" t="n">
        <v>1</v>
      </c>
      <c r="G34" s="32" t="n">
        <v>2</v>
      </c>
      <c r="H34" s="32" t="n">
        <v>2</v>
      </c>
      <c r="I34" s="32" t="n">
        <v>2</v>
      </c>
      <c r="J34" s="33">
        <f>IF(RMODE="تقريب لأعلى",ROUNDUP(O34,0),ROUND(O34,0))</f>
        <v/>
      </c>
      <c r="K34" s="34" t="n"/>
      <c r="L34" s="35">
        <f>K34-J34</f>
        <v/>
      </c>
      <c r="M34" s="36">
        <f>IF(J34=0,"",K34/J34)</f>
        <v/>
      </c>
      <c r="N34" s="37">
        <f>IF(J34=0,"لا ينطبق",IF(K34&gt;=J34,"مكتمل",IF(K34=0,"لا يوجد","عجز")))</f>
        <v/>
      </c>
      <c r="O34" s="38">
        <f>IF(CAP&lt;=$D$4,D34*CAP/$D$4,IF(CAP&gt;=$I$4,I34*CAP/$I$4,INDEX($D34:$I34,$D$3)+$E$3*(INDEX($D34:$I34,$D$3+1)-INDEX($D34:$I34,$D$3))))</f>
        <v/>
      </c>
      <c r="P34" s="39" t="inlineStr"/>
    </row>
    <row r="35">
      <c r="A35" s="30" t="n">
        <v>31</v>
      </c>
      <c r="B35" s="31" t="inlineStr">
        <is>
          <t>طبيب</t>
        </is>
      </c>
      <c r="C35" s="5" t="inlineStr">
        <is>
          <t>استشاري طب اليافعين</t>
        </is>
      </c>
      <c r="D35" s="32" t="n">
        <v>1</v>
      </c>
      <c r="E35" s="32" t="n">
        <v>1</v>
      </c>
      <c r="F35" s="32" t="n">
        <v>1</v>
      </c>
      <c r="G35" s="32" t="n">
        <v>2</v>
      </c>
      <c r="H35" s="32" t="n">
        <v>2</v>
      </c>
      <c r="I35" s="32" t="n">
        <v>2</v>
      </c>
      <c r="J35" s="33">
        <f>IF(RMODE="تقريب لأعلى",ROUNDUP(O35,0),ROUND(O35,0))</f>
        <v/>
      </c>
      <c r="K35" s="34" t="n"/>
      <c r="L35" s="35">
        <f>K35-J35</f>
        <v/>
      </c>
      <c r="M35" s="36">
        <f>IF(J35=0,"",K35/J35)</f>
        <v/>
      </c>
      <c r="N35" s="37">
        <f>IF(J35=0,"لا ينطبق",IF(K35&gt;=J35,"مكتمل",IF(K35=0,"لا يوجد","عجز")))</f>
        <v/>
      </c>
      <c r="O35" s="38">
        <f>IF(CAP&lt;=$D$4,D35*CAP/$D$4,IF(CAP&gt;=$I$4,I35*CAP/$I$4,INDEX($D35:$I35,$D$3)+$E$3*(INDEX($D35:$I35,$D$3+1)-INDEX($D35:$I35,$D$3))))</f>
        <v/>
      </c>
      <c r="P35" s="39" t="inlineStr"/>
    </row>
    <row r="36">
      <c r="A36" s="30" t="n">
        <v>32</v>
      </c>
      <c r="B36" s="31" t="inlineStr">
        <is>
          <t>طبيب</t>
        </is>
      </c>
      <c r="C36" s="5" t="inlineStr">
        <is>
          <t>أخصائي طب اليافعين</t>
        </is>
      </c>
      <c r="D36" s="32" t="n">
        <v>1</v>
      </c>
      <c r="E36" s="32" t="n">
        <v>1</v>
      </c>
      <c r="F36" s="32" t="n">
        <v>1</v>
      </c>
      <c r="G36" s="32" t="n">
        <v>2</v>
      </c>
      <c r="H36" s="32" t="n">
        <v>2</v>
      </c>
      <c r="I36" s="32" t="n">
        <v>2</v>
      </c>
      <c r="J36" s="33">
        <f>IF(RMODE="تقريب لأعلى",ROUNDUP(O36,0),ROUND(O36,0))</f>
        <v/>
      </c>
      <c r="K36" s="34" t="n"/>
      <c r="L36" s="35">
        <f>K36-J36</f>
        <v/>
      </c>
      <c r="M36" s="36">
        <f>IF(J36=0,"",K36/J36)</f>
        <v/>
      </c>
      <c r="N36" s="37">
        <f>IF(J36=0,"لا ينطبق",IF(K36&gt;=J36,"مكتمل",IF(K36=0,"لا يوجد","عجز")))</f>
        <v/>
      </c>
      <c r="O36" s="38">
        <f>IF(CAP&lt;=$D$4,D36*CAP/$D$4,IF(CAP&gt;=$I$4,I36*CAP/$I$4,INDEX($D36:$I36,$D$3)+$E$3*(INDEX($D36:$I36,$D$3+1)-INDEX($D36:$I36,$D$3))))</f>
        <v/>
      </c>
      <c r="P36" s="39" t="inlineStr"/>
    </row>
    <row r="37">
      <c r="A37" s="30" t="n">
        <v>33</v>
      </c>
      <c r="B37" s="31" t="inlineStr">
        <is>
          <t>طبيب</t>
        </is>
      </c>
      <c r="C37" s="5" t="inlineStr">
        <is>
          <t>استشاري طب نفسي أطفال</t>
        </is>
      </c>
      <c r="D37" s="32" t="n">
        <v>1</v>
      </c>
      <c r="E37" s="32" t="n">
        <v>1</v>
      </c>
      <c r="F37" s="32" t="n">
        <v>1</v>
      </c>
      <c r="G37" s="32" t="n">
        <v>2</v>
      </c>
      <c r="H37" s="32" t="n">
        <v>2</v>
      </c>
      <c r="I37" s="32" t="n">
        <v>2</v>
      </c>
      <c r="J37" s="33">
        <f>IF(RMODE="تقريب لأعلى",ROUNDUP(O37,0),ROUND(O37,0))</f>
        <v/>
      </c>
      <c r="K37" s="34" t="n"/>
      <c r="L37" s="35">
        <f>K37-J37</f>
        <v/>
      </c>
      <c r="M37" s="36">
        <f>IF(J37=0,"",K37/J37)</f>
        <v/>
      </c>
      <c r="N37" s="37">
        <f>IF(J37=0,"لا ينطبق",IF(K37&gt;=J37,"مكتمل",IF(K37=0,"لا يوجد","عجز")))</f>
        <v/>
      </c>
      <c r="O37" s="38">
        <f>IF(CAP&lt;=$D$4,D37*CAP/$D$4,IF(CAP&gt;=$I$4,I37*CAP/$I$4,INDEX($D37:$I37,$D$3)+$E$3*(INDEX($D37:$I37,$D$3+1)-INDEX($D37:$I37,$D$3))))</f>
        <v/>
      </c>
      <c r="P37" s="39" t="inlineStr"/>
    </row>
    <row r="38">
      <c r="A38" s="30" t="n">
        <v>34</v>
      </c>
      <c r="B38" s="31" t="inlineStr">
        <is>
          <t>طبيب</t>
        </is>
      </c>
      <c r="C38" s="5" t="inlineStr">
        <is>
          <t>أخصائي طب نفسي أطفال</t>
        </is>
      </c>
      <c r="D38" s="32" t="n">
        <v>1</v>
      </c>
      <c r="E38" s="32" t="n">
        <v>1</v>
      </c>
      <c r="F38" s="32" t="n">
        <v>1</v>
      </c>
      <c r="G38" s="32" t="n">
        <v>2</v>
      </c>
      <c r="H38" s="32" t="n">
        <v>2</v>
      </c>
      <c r="I38" s="32" t="n">
        <v>2</v>
      </c>
      <c r="J38" s="33">
        <f>IF(RMODE="تقريب لأعلى",ROUNDUP(O38,0),ROUND(O38,0))</f>
        <v/>
      </c>
      <c r="K38" s="34" t="n"/>
      <c r="L38" s="35">
        <f>K38-J38</f>
        <v/>
      </c>
      <c r="M38" s="36">
        <f>IF(J38=0,"",K38/J38)</f>
        <v/>
      </c>
      <c r="N38" s="37">
        <f>IF(J38=0,"لا ينطبق",IF(K38&gt;=J38,"مكتمل",IF(K38=0,"لا يوجد","عجز")))</f>
        <v/>
      </c>
      <c r="O38" s="38">
        <f>IF(CAP&lt;=$D$4,D38*CAP/$D$4,IF(CAP&gt;=$I$4,I38*CAP/$I$4,INDEX($D38:$I38,$D$3)+$E$3*(INDEX($D38:$I38,$D$3+1)-INDEX($D38:$I38,$D$3))))</f>
        <v/>
      </c>
      <c r="P38" s="39" t="inlineStr"/>
    </row>
    <row r="39">
      <c r="A39" s="30" t="n">
        <v>35</v>
      </c>
      <c r="B39" s="31" t="inlineStr">
        <is>
          <t>طبيب</t>
        </is>
      </c>
      <c r="C39" s="5" t="inlineStr">
        <is>
          <t>استشاري نفسية</t>
        </is>
      </c>
      <c r="D39" s="32" t="n">
        <v>1</v>
      </c>
      <c r="E39" s="32" t="n">
        <v>1</v>
      </c>
      <c r="F39" s="32" t="n">
        <v>1</v>
      </c>
      <c r="G39" s="32" t="n">
        <v>1</v>
      </c>
      <c r="H39" s="32" t="n">
        <v>1</v>
      </c>
      <c r="I39" s="32" t="n">
        <v>2</v>
      </c>
      <c r="J39" s="33">
        <f>IF(RMODE="تقريب لأعلى",ROUNDUP(O39,0),ROUND(O39,0))</f>
        <v/>
      </c>
      <c r="K39" s="34" t="n"/>
      <c r="L39" s="35">
        <f>K39-J39</f>
        <v/>
      </c>
      <c r="M39" s="36">
        <f>IF(J39=0,"",K39/J39)</f>
        <v/>
      </c>
      <c r="N39" s="37">
        <f>IF(J39=0,"لا ينطبق",IF(K39&gt;=J39,"مكتمل",IF(K39=0,"لا يوجد","عجز")))</f>
        <v/>
      </c>
      <c r="O39" s="38">
        <f>IF(CAP&lt;=$D$4,D39*CAP/$D$4,IF(CAP&gt;=$I$4,I39*CAP/$I$4,INDEX($D39:$I39,$D$3)+$E$3*(INDEX($D39:$I39,$D$3+1)-INDEX($D39:$I39,$D$3))))</f>
        <v/>
      </c>
      <c r="P39" s="39" t="inlineStr"/>
    </row>
    <row r="40">
      <c r="A40" s="30" t="n">
        <v>36</v>
      </c>
      <c r="B40" s="31" t="inlineStr">
        <is>
          <t>طبيب</t>
        </is>
      </c>
      <c r="C40" s="5" t="inlineStr">
        <is>
          <t>أخصائي نفسية</t>
        </is>
      </c>
      <c r="D40" s="32" t="n">
        <v>1</v>
      </c>
      <c r="E40" s="32" t="n">
        <v>1</v>
      </c>
      <c r="F40" s="32" t="n">
        <v>1</v>
      </c>
      <c r="G40" s="32" t="n">
        <v>1</v>
      </c>
      <c r="H40" s="32" t="n">
        <v>1</v>
      </c>
      <c r="I40" s="32" t="n">
        <v>1</v>
      </c>
      <c r="J40" s="33">
        <f>IF(RMODE="تقريب لأعلى",ROUNDUP(O40,0),ROUND(O40,0))</f>
        <v/>
      </c>
      <c r="K40" s="34" t="n"/>
      <c r="L40" s="35">
        <f>K40-J40</f>
        <v/>
      </c>
      <c r="M40" s="36">
        <f>IF(J40=0,"",K40/J40)</f>
        <v/>
      </c>
      <c r="N40" s="37">
        <f>IF(J40=0,"لا ينطبق",IF(K40&gt;=J40,"مكتمل",IF(K40=0,"لا يوجد","عجز")))</f>
        <v/>
      </c>
      <c r="O40" s="38">
        <f>IF(CAP&lt;=$D$4,D40*CAP/$D$4,IF(CAP&gt;=$I$4,I40*CAP/$I$4,INDEX($D40:$I40,$D$3)+$E$3*(INDEX($D40:$I40,$D$3+1)-INDEX($D40:$I40,$D$3))))</f>
        <v/>
      </c>
      <c r="P40" s="39" t="inlineStr"/>
    </row>
    <row r="41">
      <c r="A41" s="30" t="n">
        <v>37</v>
      </c>
      <c r="B41" s="31" t="inlineStr">
        <is>
          <t>طبيب</t>
        </is>
      </c>
      <c r="C41" s="5" t="inlineStr">
        <is>
          <t>استشاري جلدية</t>
        </is>
      </c>
      <c r="D41" s="32" t="n">
        <v>1</v>
      </c>
      <c r="E41" s="32" t="n">
        <v>1</v>
      </c>
      <c r="F41" s="32" t="n">
        <v>2</v>
      </c>
      <c r="G41" s="32" t="n">
        <v>3</v>
      </c>
      <c r="H41" s="32" t="n">
        <v>4</v>
      </c>
      <c r="I41" s="32" t="n">
        <v>5</v>
      </c>
      <c r="J41" s="33">
        <f>IF(RMODE="تقريب لأعلى",ROUNDUP(O41,0),ROUND(O41,0))</f>
        <v/>
      </c>
      <c r="K41" s="34" t="n"/>
      <c r="L41" s="35">
        <f>K41-J41</f>
        <v/>
      </c>
      <c r="M41" s="36">
        <f>IF(J41=0,"",K41/J41)</f>
        <v/>
      </c>
      <c r="N41" s="37">
        <f>IF(J41=0,"لا ينطبق",IF(K41&gt;=J41,"مكتمل",IF(K41=0,"لا يوجد","عجز")))</f>
        <v/>
      </c>
      <c r="O41" s="38">
        <f>IF(CAP&lt;=$D$4,D41*CAP/$D$4,IF(CAP&gt;=$I$4,I41*CAP/$I$4,INDEX($D41:$I41,$D$3)+$E$3*(INDEX($D41:$I41,$D$3+1)-INDEX($D41:$I41,$D$3))))</f>
        <v/>
      </c>
      <c r="P41" s="39" t="inlineStr"/>
    </row>
    <row r="42">
      <c r="A42" s="30" t="n">
        <v>38</v>
      </c>
      <c r="B42" s="31" t="inlineStr">
        <is>
          <t>طبيب</t>
        </is>
      </c>
      <c r="C42" s="5" t="inlineStr">
        <is>
          <t>أخصائي جلدية</t>
        </is>
      </c>
      <c r="D42" s="32" t="n">
        <v>1</v>
      </c>
      <c r="E42" s="32" t="n">
        <v>1</v>
      </c>
      <c r="F42" s="32" t="n">
        <v>2</v>
      </c>
      <c r="G42" s="32" t="n">
        <v>3</v>
      </c>
      <c r="H42" s="32" t="n">
        <v>4</v>
      </c>
      <c r="I42" s="32" t="n">
        <v>5</v>
      </c>
      <c r="J42" s="33">
        <f>IF(RMODE="تقريب لأعلى",ROUNDUP(O42,0),ROUND(O42,0))</f>
        <v/>
      </c>
      <c r="K42" s="34" t="n"/>
      <c r="L42" s="35">
        <f>K42-J42</f>
        <v/>
      </c>
      <c r="M42" s="36">
        <f>IF(J42=0,"",K42/J42)</f>
        <v/>
      </c>
      <c r="N42" s="37">
        <f>IF(J42=0,"لا ينطبق",IF(K42&gt;=J42,"مكتمل",IF(K42=0,"لا يوجد","عجز")))</f>
        <v/>
      </c>
      <c r="O42" s="38">
        <f>IF(CAP&lt;=$D$4,D42*CAP/$D$4,IF(CAP&gt;=$I$4,I42*CAP/$I$4,INDEX($D42:$I42,$D$3)+$E$3*(INDEX($D42:$I42,$D$3+1)-INDEX($D42:$I42,$D$3))))</f>
        <v/>
      </c>
      <c r="P42" s="39" t="inlineStr"/>
    </row>
    <row r="43">
      <c r="A43" s="30" t="n">
        <v>39</v>
      </c>
      <c r="B43" s="31" t="inlineStr">
        <is>
          <t>طبيب</t>
        </is>
      </c>
      <c r="C43" s="5" t="inlineStr">
        <is>
          <t>استشاري عناية مركزة كبار</t>
        </is>
      </c>
      <c r="D43" s="32" t="n">
        <v>2</v>
      </c>
      <c r="E43" s="32" t="n">
        <v>3</v>
      </c>
      <c r="F43" s="32" t="n">
        <v>3</v>
      </c>
      <c r="G43" s="32" t="n">
        <v>5</v>
      </c>
      <c r="H43" s="32" t="n">
        <v>7</v>
      </c>
      <c r="I43" s="32" t="n">
        <v>10</v>
      </c>
      <c r="J43" s="33">
        <f>IF(RMODE="تقريب لأعلى",ROUNDUP(O43,0),ROUND(O43,0))</f>
        <v/>
      </c>
      <c r="K43" s="34" t="n"/>
      <c r="L43" s="35">
        <f>K43-J43</f>
        <v/>
      </c>
      <c r="M43" s="36">
        <f>IF(J43=0,"",K43/J43)</f>
        <v/>
      </c>
      <c r="N43" s="37">
        <f>IF(J43=0,"لا ينطبق",IF(K43&gt;=J43,"مكتمل",IF(K43=0,"لا يوجد","عجز")))</f>
        <v/>
      </c>
      <c r="O43" s="38">
        <f>IF(CAP&lt;=$D$4,D43*CAP/$D$4,IF(CAP&gt;=$I$4,I43*CAP/$I$4,INDEX($D43:$I43,$D$3)+$E$3*(INDEX($D43:$I43,$D$3+1)-INDEX($D43:$I43,$D$3))))</f>
        <v/>
      </c>
      <c r="P43" s="39" t="inlineStr">
        <is>
          <t>إيضاح 14: أسرة العناية 20% من السعة (7% أطفال + 13% حديثي ولادة)</t>
        </is>
      </c>
    </row>
    <row r="44">
      <c r="A44" s="30" t="n">
        <v>40</v>
      </c>
      <c r="B44" s="31" t="inlineStr">
        <is>
          <t>طبيب</t>
        </is>
      </c>
      <c r="C44" s="5" t="inlineStr">
        <is>
          <t>أخصائي عناية مركزة كبار</t>
        </is>
      </c>
      <c r="D44" s="32" t="n">
        <v>5</v>
      </c>
      <c r="E44" s="32" t="n">
        <v>8</v>
      </c>
      <c r="F44" s="32" t="n">
        <v>8</v>
      </c>
      <c r="G44" s="32" t="n">
        <v>10</v>
      </c>
      <c r="H44" s="32" t="n">
        <v>15</v>
      </c>
      <c r="I44" s="32" t="n">
        <v>20</v>
      </c>
      <c r="J44" s="33">
        <f>IF(RMODE="تقريب لأعلى",ROUNDUP(O44,0),ROUND(O44,0))</f>
        <v/>
      </c>
      <c r="K44" s="34" t="n"/>
      <c r="L44" s="35">
        <f>K44-J44</f>
        <v/>
      </c>
      <c r="M44" s="36">
        <f>IF(J44=0,"",K44/J44)</f>
        <v/>
      </c>
      <c r="N44" s="37">
        <f>IF(J44=0,"لا ينطبق",IF(K44&gt;=J44,"مكتمل",IF(K44=0,"لا يوجد","عجز")))</f>
        <v/>
      </c>
      <c r="O44" s="38">
        <f>IF(CAP&lt;=$D$4,D44*CAP/$D$4,IF(CAP&gt;=$I$4,I44*CAP/$I$4,INDEX($D44:$I44,$D$3)+$E$3*(INDEX($D44:$I44,$D$3+1)-INDEX($D44:$I44,$D$3))))</f>
        <v/>
      </c>
      <c r="P44" s="39" t="inlineStr">
        <is>
          <t>إيضاح 14</t>
        </is>
      </c>
    </row>
    <row r="45">
      <c r="A45" s="30" t="n">
        <v>41</v>
      </c>
      <c r="B45" s="31" t="inlineStr">
        <is>
          <t>طبيب</t>
        </is>
      </c>
      <c r="C45" s="5" t="inlineStr">
        <is>
          <t>مقيم عناية مركزة كبار</t>
        </is>
      </c>
      <c r="D45" s="32" t="n">
        <v>0</v>
      </c>
      <c r="E45" s="32" t="n">
        <v>2</v>
      </c>
      <c r="F45" s="32" t="n">
        <v>2</v>
      </c>
      <c r="G45" s="32" t="n">
        <v>3</v>
      </c>
      <c r="H45" s="32" t="n">
        <v>4</v>
      </c>
      <c r="I45" s="32" t="n">
        <v>5</v>
      </c>
      <c r="J45" s="33">
        <f>IF(RMODE="تقريب لأعلى",ROUNDUP(O45,0),ROUND(O45,0))</f>
        <v/>
      </c>
      <c r="K45" s="34" t="n"/>
      <c r="L45" s="35">
        <f>K45-J45</f>
        <v/>
      </c>
      <c r="M45" s="36">
        <f>IF(J45=0,"",K45/J45)</f>
        <v/>
      </c>
      <c r="N45" s="37">
        <f>IF(J45=0,"لا ينطبق",IF(K45&gt;=J45,"مكتمل",IF(K45=0,"لا يوجد","عجز")))</f>
        <v/>
      </c>
      <c r="O45" s="38">
        <f>IF(CAP&lt;=$D$4,D45*CAP/$D$4,IF(CAP&gt;=$I$4,I45*CAP/$I$4,INDEX($D45:$I45,$D$3)+$E$3*(INDEX($D45:$I45,$D$3+1)-INDEX($D45:$I45,$D$3))))</f>
        <v/>
      </c>
      <c r="P45" s="39" t="inlineStr">
        <is>
          <t>إيضاح 14</t>
        </is>
      </c>
    </row>
    <row r="46">
      <c r="A46" s="30" t="n">
        <v>42</v>
      </c>
      <c r="B46" s="31" t="inlineStr">
        <is>
          <t>طبيب</t>
        </is>
      </c>
      <c r="C46" s="5" t="inlineStr">
        <is>
          <t>استشاري جراحة عامة</t>
        </is>
      </c>
      <c r="D46" s="32" t="n">
        <v>3</v>
      </c>
      <c r="E46" s="32" t="n">
        <v>3</v>
      </c>
      <c r="F46" s="32" t="n">
        <v>3</v>
      </c>
      <c r="G46" s="32" t="n">
        <v>4</v>
      </c>
      <c r="H46" s="32" t="n">
        <v>4</v>
      </c>
      <c r="I46" s="32" t="n">
        <v>5</v>
      </c>
      <c r="J46" s="33">
        <f>IF(RMODE="تقريب لأعلى",ROUNDUP(O46,0),ROUND(O46,0))</f>
        <v/>
      </c>
      <c r="K46" s="34" t="n"/>
      <c r="L46" s="35">
        <f>K46-J46</f>
        <v/>
      </c>
      <c r="M46" s="36">
        <f>IF(J46=0,"",K46/J46)</f>
        <v/>
      </c>
      <c r="N46" s="37">
        <f>IF(J46=0,"لا ينطبق",IF(K46&gt;=J46,"مكتمل",IF(K46=0,"لا يوجد","عجز")))</f>
        <v/>
      </c>
      <c r="O46" s="38">
        <f>IF(CAP&lt;=$D$4,D46*CAP/$D$4,IF(CAP&gt;=$I$4,I46*CAP/$I$4,INDEX($D46:$I46,$D$3)+$E$3*(INDEX($D46:$I46,$D$3+1)-INDEX($D46:$I46,$D$3))))</f>
        <v/>
      </c>
      <c r="P46" s="39" t="inlineStr"/>
    </row>
    <row r="47">
      <c r="A47" s="30" t="n">
        <v>43</v>
      </c>
      <c r="B47" s="31" t="inlineStr">
        <is>
          <t>طبيب</t>
        </is>
      </c>
      <c r="C47" s="5" t="inlineStr">
        <is>
          <t>أخصائي جراحة عامة</t>
        </is>
      </c>
      <c r="D47" s="32" t="n">
        <v>3</v>
      </c>
      <c r="E47" s="32" t="n">
        <v>5</v>
      </c>
      <c r="F47" s="32" t="n">
        <v>5</v>
      </c>
      <c r="G47" s="32" t="n">
        <v>6</v>
      </c>
      <c r="H47" s="32" t="n">
        <v>6</v>
      </c>
      <c r="I47" s="32" t="n">
        <v>10</v>
      </c>
      <c r="J47" s="33">
        <f>IF(RMODE="تقريب لأعلى",ROUNDUP(O47,0),ROUND(O47,0))</f>
        <v/>
      </c>
      <c r="K47" s="34" t="n"/>
      <c r="L47" s="35">
        <f>K47-J47</f>
        <v/>
      </c>
      <c r="M47" s="36">
        <f>IF(J47=0,"",K47/J47)</f>
        <v/>
      </c>
      <c r="N47" s="37">
        <f>IF(J47=0,"لا ينطبق",IF(K47&gt;=J47,"مكتمل",IF(K47=0,"لا يوجد","عجز")))</f>
        <v/>
      </c>
      <c r="O47" s="38">
        <f>IF(CAP&lt;=$D$4,D47*CAP/$D$4,IF(CAP&gt;=$I$4,I47*CAP/$I$4,INDEX($D47:$I47,$D$3)+$E$3*(INDEX($D47:$I47,$D$3+1)-INDEX($D47:$I47,$D$3))))</f>
        <v/>
      </c>
      <c r="P47" s="39" t="inlineStr"/>
    </row>
    <row r="48">
      <c r="A48" s="30" t="n">
        <v>44</v>
      </c>
      <c r="B48" s="31" t="inlineStr">
        <is>
          <t>طبيب</t>
        </is>
      </c>
      <c r="C48" s="5" t="inlineStr">
        <is>
          <t>مقيم جراحة عامة</t>
        </is>
      </c>
      <c r="D48" s="32" t="n">
        <v>6</v>
      </c>
      <c r="E48" s="32" t="n">
        <v>8</v>
      </c>
      <c r="F48" s="32" t="n">
        <v>8</v>
      </c>
      <c r="G48" s="32" t="n">
        <v>11</v>
      </c>
      <c r="H48" s="32" t="n">
        <v>13</v>
      </c>
      <c r="I48" s="32" t="n">
        <v>15</v>
      </c>
      <c r="J48" s="33">
        <f>IF(RMODE="تقريب لأعلى",ROUNDUP(O48,0),ROUND(O48,0))</f>
        <v/>
      </c>
      <c r="K48" s="34" t="n"/>
      <c r="L48" s="35">
        <f>K48-J48</f>
        <v/>
      </c>
      <c r="M48" s="36">
        <f>IF(J48=0,"",K48/J48)</f>
        <v/>
      </c>
      <c r="N48" s="37">
        <f>IF(J48=0,"لا ينطبق",IF(K48&gt;=J48,"مكتمل",IF(K48=0,"لا يوجد","عجز")))</f>
        <v/>
      </c>
      <c r="O48" s="38">
        <f>IF(CAP&lt;=$D$4,D48*CAP/$D$4,IF(CAP&gt;=$I$4,I48*CAP/$I$4,INDEX($D48:$I48,$D$3)+$E$3*(INDEX($D48:$I48,$D$3+1)-INDEX($D48:$I48,$D$3))))</f>
        <v/>
      </c>
      <c r="P48" s="39" t="inlineStr"/>
    </row>
    <row r="49">
      <c r="A49" s="30" t="n">
        <v>45</v>
      </c>
      <c r="B49" s="31" t="inlineStr">
        <is>
          <t>طبيب</t>
        </is>
      </c>
      <c r="C49" s="5" t="inlineStr">
        <is>
          <t>استشاري نساء وولادة</t>
        </is>
      </c>
      <c r="D49" s="32" t="n">
        <v>7</v>
      </c>
      <c r="E49" s="32" t="n">
        <v>8</v>
      </c>
      <c r="F49" s="32" t="n">
        <v>10</v>
      </c>
      <c r="G49" s="32" t="n">
        <v>12</v>
      </c>
      <c r="H49" s="32" t="n">
        <v>14</v>
      </c>
      <c r="I49" s="32" t="n">
        <v>16</v>
      </c>
      <c r="J49" s="33">
        <f>IF(RMODE="تقريب لأعلى",ROUNDUP(O49,0),ROUND(O49,0))</f>
        <v/>
      </c>
      <c r="K49" s="34" t="n"/>
      <c r="L49" s="35">
        <f>K49-J49</f>
        <v/>
      </c>
      <c r="M49" s="36">
        <f>IF(J49=0,"",K49/J49)</f>
        <v/>
      </c>
      <c r="N49" s="37">
        <f>IF(J49=0,"لا ينطبق",IF(K49&gt;=J49,"مكتمل",IF(K49=0,"لا يوجد","عجز")))</f>
        <v/>
      </c>
      <c r="O49" s="38">
        <f>IF(CAP&lt;=$D$4,D49*CAP/$D$4,IF(CAP&gt;=$I$4,I49*CAP/$I$4,INDEX($D49:$I49,$D$3)+$E$3*(INDEX($D49:$I49,$D$3+1)-INDEX($D49:$I49,$D$3))))</f>
        <v/>
      </c>
      <c r="P49" s="39" t="inlineStr"/>
    </row>
    <row r="50">
      <c r="A50" s="30" t="n">
        <v>46</v>
      </c>
      <c r="B50" s="31" t="inlineStr">
        <is>
          <t>طبيب</t>
        </is>
      </c>
      <c r="C50" s="5" t="inlineStr">
        <is>
          <t>أخصائي نساء وولادة</t>
        </is>
      </c>
      <c r="D50" s="32" t="n">
        <v>20</v>
      </c>
      <c r="E50" s="32" t="n">
        <v>22</v>
      </c>
      <c r="F50" s="32" t="n">
        <v>28</v>
      </c>
      <c r="G50" s="32" t="n">
        <v>30</v>
      </c>
      <c r="H50" s="32" t="n">
        <v>33</v>
      </c>
      <c r="I50" s="32" t="n">
        <v>35</v>
      </c>
      <c r="J50" s="33">
        <f>IF(RMODE="تقريب لأعلى",ROUNDUP(O50,0),ROUND(O50,0))</f>
        <v/>
      </c>
      <c r="K50" s="34" t="n"/>
      <c r="L50" s="35">
        <f>K50-J50</f>
        <v/>
      </c>
      <c r="M50" s="36">
        <f>IF(J50=0,"",K50/J50)</f>
        <v/>
      </c>
      <c r="N50" s="37">
        <f>IF(J50=0,"لا ينطبق",IF(K50&gt;=J50,"مكتمل",IF(K50=0,"لا يوجد","عجز")))</f>
        <v/>
      </c>
      <c r="O50" s="38">
        <f>IF(CAP&lt;=$D$4,D50*CAP/$D$4,IF(CAP&gt;=$I$4,I50*CAP/$I$4,INDEX($D50:$I50,$D$3)+$E$3*(INDEX($D50:$I50,$D$3+1)-INDEX($D50:$I50,$D$3))))</f>
        <v/>
      </c>
      <c r="P50" s="39" t="inlineStr"/>
    </row>
    <row r="51">
      <c r="A51" s="30" t="n">
        <v>47</v>
      </c>
      <c r="B51" s="31" t="inlineStr">
        <is>
          <t>طبيب</t>
        </is>
      </c>
      <c r="C51" s="5" t="inlineStr">
        <is>
          <t>مقيم نساء وولادة</t>
        </is>
      </c>
      <c r="D51" s="32" t="n">
        <v>15</v>
      </c>
      <c r="E51" s="32" t="n">
        <v>20</v>
      </c>
      <c r="F51" s="32" t="n">
        <v>25</v>
      </c>
      <c r="G51" s="32" t="n">
        <v>28</v>
      </c>
      <c r="H51" s="32" t="n">
        <v>30</v>
      </c>
      <c r="I51" s="32" t="n">
        <v>35</v>
      </c>
      <c r="J51" s="33">
        <f>IF(RMODE="تقريب لأعلى",ROUNDUP(O51,0),ROUND(O51,0))</f>
        <v/>
      </c>
      <c r="K51" s="34" t="n"/>
      <c r="L51" s="35">
        <f>K51-J51</f>
        <v/>
      </c>
      <c r="M51" s="36">
        <f>IF(J51=0,"",K51/J51)</f>
        <v/>
      </c>
      <c r="N51" s="37">
        <f>IF(J51=0,"لا ينطبق",IF(K51&gt;=J51,"مكتمل",IF(K51=0,"لا يوجد","عجز")))</f>
        <v/>
      </c>
      <c r="O51" s="38">
        <f>IF(CAP&lt;=$D$4,D51*CAP/$D$4,IF(CAP&gt;=$I$4,I51*CAP/$I$4,INDEX($D51:$I51,$D$3)+$E$3*(INDEX($D51:$I51,$D$3+1)-INDEX($D51:$I51,$D$3))))</f>
        <v/>
      </c>
      <c r="P51" s="39" t="inlineStr"/>
    </row>
    <row r="52">
      <c r="A52" s="30" t="n">
        <v>48</v>
      </c>
      <c r="B52" s="31" t="inlineStr">
        <is>
          <t>طبيب</t>
        </is>
      </c>
      <c r="C52" s="5" t="inlineStr">
        <is>
          <t>استشاري أمراض نساء مسالك</t>
        </is>
      </c>
      <c r="D52" s="32" t="n">
        <v>2</v>
      </c>
      <c r="E52" s="32" t="n">
        <v>2</v>
      </c>
      <c r="F52" s="32" t="n">
        <v>2</v>
      </c>
      <c r="G52" s="32" t="n">
        <v>2</v>
      </c>
      <c r="H52" s="32" t="n">
        <v>3</v>
      </c>
      <c r="I52" s="32" t="n">
        <v>3</v>
      </c>
      <c r="J52" s="33">
        <f>IF(RMODE="تقريب لأعلى",ROUNDUP(O52,0),ROUND(O52,0))</f>
        <v/>
      </c>
      <c r="K52" s="34" t="n"/>
      <c r="L52" s="35">
        <f>K52-J52</f>
        <v/>
      </c>
      <c r="M52" s="36">
        <f>IF(J52=0,"",K52/J52)</f>
        <v/>
      </c>
      <c r="N52" s="37">
        <f>IF(J52=0,"لا ينطبق",IF(K52&gt;=J52,"مكتمل",IF(K52=0,"لا يوجد","عجز")))</f>
        <v/>
      </c>
      <c r="O52" s="38">
        <f>IF(CAP&lt;=$D$4,D52*CAP/$D$4,IF(CAP&gt;=$I$4,I52*CAP/$I$4,INDEX($D52:$I52,$D$3)+$E$3*(INDEX($D52:$I52,$D$3+1)-INDEX($D52:$I52,$D$3))))</f>
        <v/>
      </c>
      <c r="P52" s="39" t="inlineStr"/>
    </row>
    <row r="53">
      <c r="A53" s="30" t="n">
        <v>49</v>
      </c>
      <c r="B53" s="31" t="inlineStr">
        <is>
          <t>طبيب</t>
        </is>
      </c>
      <c r="C53" s="5" t="inlineStr">
        <is>
          <t>أخصائي أمراض نساء مسالك</t>
        </is>
      </c>
      <c r="D53" s="32" t="n">
        <v>0</v>
      </c>
      <c r="E53" s="32" t="n">
        <v>0</v>
      </c>
      <c r="F53" s="32" t="n">
        <v>0</v>
      </c>
      <c r="G53" s="32" t="n">
        <v>0</v>
      </c>
      <c r="H53" s="32" t="n">
        <v>2</v>
      </c>
      <c r="I53" s="32" t="n">
        <v>3</v>
      </c>
      <c r="J53" s="33">
        <f>IF(RMODE="تقريب لأعلى",ROUNDUP(O53,0),ROUND(O53,0))</f>
        <v/>
      </c>
      <c r="K53" s="34" t="n"/>
      <c r="L53" s="35">
        <f>K53-J53</f>
        <v/>
      </c>
      <c r="M53" s="36">
        <f>IF(J53=0,"",K53/J53)</f>
        <v/>
      </c>
      <c r="N53" s="37">
        <f>IF(J53=0,"لا ينطبق",IF(K53&gt;=J53,"مكتمل",IF(K53=0,"لا يوجد","عجز")))</f>
        <v/>
      </c>
      <c r="O53" s="38">
        <f>IF(CAP&lt;=$D$4,D53*CAP/$D$4,IF(CAP&gt;=$I$4,I53*CAP/$I$4,INDEX($D53:$I53,$D$3)+$E$3*(INDEX($D53:$I53,$D$3+1)-INDEX($D53:$I53,$D$3))))</f>
        <v/>
      </c>
      <c r="P53" s="39" t="inlineStr"/>
    </row>
    <row r="54">
      <c r="A54" s="30" t="n">
        <v>50</v>
      </c>
      <c r="B54" s="31" t="inlineStr">
        <is>
          <t>طبيب</t>
        </is>
      </c>
      <c r="C54" s="5" t="inlineStr">
        <is>
          <t>استشاري أمراض نساء أورام</t>
        </is>
      </c>
      <c r="D54" s="32" t="n">
        <v>1</v>
      </c>
      <c r="E54" s="32" t="n">
        <v>1</v>
      </c>
      <c r="F54" s="32" t="n">
        <v>1</v>
      </c>
      <c r="G54" s="32" t="n">
        <v>2</v>
      </c>
      <c r="H54" s="32" t="n">
        <v>2</v>
      </c>
      <c r="I54" s="32" t="n">
        <v>3</v>
      </c>
      <c r="J54" s="33">
        <f>IF(RMODE="تقريب لأعلى",ROUNDUP(O54,0),ROUND(O54,0))</f>
        <v/>
      </c>
      <c r="K54" s="34" t="n"/>
      <c r="L54" s="35">
        <f>K54-J54</f>
        <v/>
      </c>
      <c r="M54" s="36">
        <f>IF(J54=0,"",K54/J54)</f>
        <v/>
      </c>
      <c r="N54" s="37">
        <f>IF(J54=0,"لا ينطبق",IF(K54&gt;=J54,"مكتمل",IF(K54=0,"لا يوجد","عجز")))</f>
        <v/>
      </c>
      <c r="O54" s="38">
        <f>IF(CAP&lt;=$D$4,D54*CAP/$D$4,IF(CAP&gt;=$I$4,I54*CAP/$I$4,INDEX($D54:$I54,$D$3)+$E$3*(INDEX($D54:$I54,$D$3+1)-INDEX($D54:$I54,$D$3))))</f>
        <v/>
      </c>
      <c r="P54" s="39" t="inlineStr"/>
    </row>
    <row r="55">
      <c r="A55" s="30" t="n">
        <v>51</v>
      </c>
      <c r="B55" s="31" t="inlineStr">
        <is>
          <t>طبيب</t>
        </is>
      </c>
      <c r="C55" s="5" t="inlineStr">
        <is>
          <t>أخصائي أمراض نساء أورام</t>
        </is>
      </c>
      <c r="D55" s="32" t="n">
        <v>0</v>
      </c>
      <c r="E55" s="32" t="n">
        <v>0</v>
      </c>
      <c r="F55" s="32" t="n">
        <v>0</v>
      </c>
      <c r="G55" s="32" t="n">
        <v>0</v>
      </c>
      <c r="H55" s="32" t="n">
        <v>2</v>
      </c>
      <c r="I55" s="32" t="n">
        <v>3</v>
      </c>
      <c r="J55" s="33">
        <f>IF(RMODE="تقريب لأعلى",ROUNDUP(O55,0),ROUND(O55,0))</f>
        <v/>
      </c>
      <c r="K55" s="34" t="n"/>
      <c r="L55" s="35">
        <f>K55-J55</f>
        <v/>
      </c>
      <c r="M55" s="36">
        <f>IF(J55=0,"",K55/J55)</f>
        <v/>
      </c>
      <c r="N55" s="37">
        <f>IF(J55=0,"لا ينطبق",IF(K55&gt;=J55,"مكتمل",IF(K55=0,"لا يوجد","عجز")))</f>
        <v/>
      </c>
      <c r="O55" s="38">
        <f>IF(CAP&lt;=$D$4,D55*CAP/$D$4,IF(CAP&gt;=$I$4,I55*CAP/$I$4,INDEX($D55:$I55,$D$3)+$E$3*(INDEX($D55:$I55,$D$3+1)-INDEX($D55:$I55,$D$3))))</f>
        <v/>
      </c>
      <c r="P55" s="39" t="inlineStr"/>
    </row>
    <row r="56">
      <c r="A56" s="30" t="n">
        <v>52</v>
      </c>
      <c r="B56" s="31" t="inlineStr">
        <is>
          <t>طبيب</t>
        </is>
      </c>
      <c r="C56" s="5" t="inlineStr">
        <is>
          <t>استشاري عيون</t>
        </is>
      </c>
      <c r="D56" s="32" t="n">
        <v>1</v>
      </c>
      <c r="E56" s="32" t="n">
        <v>1</v>
      </c>
      <c r="F56" s="32" t="n">
        <v>2</v>
      </c>
      <c r="G56" s="32" t="n">
        <v>4</v>
      </c>
      <c r="H56" s="32" t="n">
        <v>5</v>
      </c>
      <c r="I56" s="32" t="n">
        <v>5</v>
      </c>
      <c r="J56" s="33">
        <f>IF(RMODE="تقريب لأعلى",ROUNDUP(O56,0),ROUND(O56,0))</f>
        <v/>
      </c>
      <c r="K56" s="34" t="n"/>
      <c r="L56" s="35">
        <f>K56-J56</f>
        <v/>
      </c>
      <c r="M56" s="36">
        <f>IF(J56=0,"",K56/J56)</f>
        <v/>
      </c>
      <c r="N56" s="37">
        <f>IF(J56=0,"لا ينطبق",IF(K56&gt;=J56,"مكتمل",IF(K56=0,"لا يوجد","عجز")))</f>
        <v/>
      </c>
      <c r="O56" s="38">
        <f>IF(CAP&lt;=$D$4,D56*CAP/$D$4,IF(CAP&gt;=$I$4,I56*CAP/$I$4,INDEX($D56:$I56,$D$3)+$E$3*(INDEX($D56:$I56,$D$3+1)-INDEX($D56:$I56,$D$3))))</f>
        <v/>
      </c>
      <c r="P56" s="39" t="inlineStr"/>
    </row>
    <row r="57">
      <c r="A57" s="30" t="n">
        <v>53</v>
      </c>
      <c r="B57" s="31" t="inlineStr">
        <is>
          <t>طبيب</t>
        </is>
      </c>
      <c r="C57" s="5" t="inlineStr">
        <is>
          <t>أخصائي عيون</t>
        </is>
      </c>
      <c r="D57" s="32" t="n">
        <v>1</v>
      </c>
      <c r="E57" s="32" t="n">
        <v>2</v>
      </c>
      <c r="F57" s="32" t="n">
        <v>3</v>
      </c>
      <c r="G57" s="32" t="n">
        <v>3</v>
      </c>
      <c r="H57" s="32" t="n">
        <v>4</v>
      </c>
      <c r="I57" s="32" t="n">
        <v>4</v>
      </c>
      <c r="J57" s="33">
        <f>IF(RMODE="تقريب لأعلى",ROUNDUP(O57,0),ROUND(O57,0))</f>
        <v/>
      </c>
      <c r="K57" s="34" t="n"/>
      <c r="L57" s="35">
        <f>K57-J57</f>
        <v/>
      </c>
      <c r="M57" s="36">
        <f>IF(J57=0,"",K57/J57)</f>
        <v/>
      </c>
      <c r="N57" s="37">
        <f>IF(J57=0,"لا ينطبق",IF(K57&gt;=J57,"مكتمل",IF(K57=0,"لا يوجد","عجز")))</f>
        <v/>
      </c>
      <c r="O57" s="38">
        <f>IF(CAP&lt;=$D$4,D57*CAP/$D$4,IF(CAP&gt;=$I$4,I57*CAP/$I$4,INDEX($D57:$I57,$D$3)+$E$3*(INDEX($D57:$I57,$D$3+1)-INDEX($D57:$I57,$D$3))))</f>
        <v/>
      </c>
      <c r="P57" s="39" t="inlineStr"/>
    </row>
    <row r="58">
      <c r="A58" s="30" t="n">
        <v>54</v>
      </c>
      <c r="B58" s="31" t="inlineStr">
        <is>
          <t>طبيب</t>
        </is>
      </c>
      <c r="C58" s="5" t="inlineStr">
        <is>
          <t>مقيم عيون</t>
        </is>
      </c>
      <c r="D58" s="32" t="n">
        <v>1</v>
      </c>
      <c r="E58" s="32" t="n">
        <v>2</v>
      </c>
      <c r="F58" s="32" t="n">
        <v>3</v>
      </c>
      <c r="G58" s="32" t="n">
        <v>4</v>
      </c>
      <c r="H58" s="32" t="n">
        <v>4</v>
      </c>
      <c r="I58" s="32" t="n">
        <v>4</v>
      </c>
      <c r="J58" s="33">
        <f>IF(RMODE="تقريب لأعلى",ROUNDUP(O58,0),ROUND(O58,0))</f>
        <v/>
      </c>
      <c r="K58" s="34" t="n"/>
      <c r="L58" s="35">
        <f>K58-J58</f>
        <v/>
      </c>
      <c r="M58" s="36">
        <f>IF(J58=0,"",K58/J58)</f>
        <v/>
      </c>
      <c r="N58" s="37">
        <f>IF(J58=0,"لا ينطبق",IF(K58&gt;=J58,"مكتمل",IF(K58=0,"لا يوجد","عجز")))</f>
        <v/>
      </c>
      <c r="O58" s="38">
        <f>IF(CAP&lt;=$D$4,D58*CAP/$D$4,IF(CAP&gt;=$I$4,I58*CAP/$I$4,INDEX($D58:$I58,$D$3)+$E$3*(INDEX($D58:$I58,$D$3+1)-INDEX($D58:$I58,$D$3))))</f>
        <v/>
      </c>
      <c r="P58" s="39" t="inlineStr"/>
    </row>
    <row r="59">
      <c r="A59" s="30" t="n">
        <v>55</v>
      </c>
      <c r="B59" s="31" t="inlineStr">
        <is>
          <t>طبيب</t>
        </is>
      </c>
      <c r="C59" s="5" t="inlineStr">
        <is>
          <t>استشاري أنف وأذن وحنجرة</t>
        </is>
      </c>
      <c r="D59" s="32" t="n">
        <v>1</v>
      </c>
      <c r="E59" s="32" t="n">
        <v>1</v>
      </c>
      <c r="F59" s="32" t="n">
        <v>2</v>
      </c>
      <c r="G59" s="32" t="n">
        <v>3</v>
      </c>
      <c r="H59" s="32" t="n">
        <v>4</v>
      </c>
      <c r="I59" s="32" t="n">
        <v>6</v>
      </c>
      <c r="J59" s="33">
        <f>IF(RMODE="تقريب لأعلى",ROUNDUP(O59,0),ROUND(O59,0))</f>
        <v/>
      </c>
      <c r="K59" s="34" t="n"/>
      <c r="L59" s="35">
        <f>K59-J59</f>
        <v/>
      </c>
      <c r="M59" s="36">
        <f>IF(J59=0,"",K59/J59)</f>
        <v/>
      </c>
      <c r="N59" s="37">
        <f>IF(J59=0,"لا ينطبق",IF(K59&gt;=J59,"مكتمل",IF(K59=0,"لا يوجد","عجز")))</f>
        <v/>
      </c>
      <c r="O59" s="38">
        <f>IF(CAP&lt;=$D$4,D59*CAP/$D$4,IF(CAP&gt;=$I$4,I59*CAP/$I$4,INDEX($D59:$I59,$D$3)+$E$3*(INDEX($D59:$I59,$D$3+1)-INDEX($D59:$I59,$D$3))))</f>
        <v/>
      </c>
      <c r="P59" s="39" t="inlineStr"/>
    </row>
    <row r="60">
      <c r="A60" s="30" t="n">
        <v>56</v>
      </c>
      <c r="B60" s="31" t="inlineStr">
        <is>
          <t>طبيب</t>
        </is>
      </c>
      <c r="C60" s="5" t="inlineStr">
        <is>
          <t>أخصائي أنف وأذن وحنجرة</t>
        </is>
      </c>
      <c r="D60" s="32" t="n">
        <v>2</v>
      </c>
      <c r="E60" s="32" t="n">
        <v>2</v>
      </c>
      <c r="F60" s="32" t="n">
        <v>2</v>
      </c>
      <c r="G60" s="32" t="n">
        <v>3</v>
      </c>
      <c r="H60" s="32" t="n">
        <v>3</v>
      </c>
      <c r="I60" s="32" t="n">
        <v>4</v>
      </c>
      <c r="J60" s="33">
        <f>IF(RMODE="تقريب لأعلى",ROUNDUP(O60,0),ROUND(O60,0))</f>
        <v/>
      </c>
      <c r="K60" s="34" t="n"/>
      <c r="L60" s="35">
        <f>K60-J60</f>
        <v/>
      </c>
      <c r="M60" s="36">
        <f>IF(J60=0,"",K60/J60)</f>
        <v/>
      </c>
      <c r="N60" s="37">
        <f>IF(J60=0,"لا ينطبق",IF(K60&gt;=J60,"مكتمل",IF(K60=0,"لا يوجد","عجز")))</f>
        <v/>
      </c>
      <c r="O60" s="38">
        <f>IF(CAP&lt;=$D$4,D60*CAP/$D$4,IF(CAP&gt;=$I$4,I60*CAP/$I$4,INDEX($D60:$I60,$D$3)+$E$3*(INDEX($D60:$I60,$D$3+1)-INDEX($D60:$I60,$D$3))))</f>
        <v/>
      </c>
      <c r="P60" s="39" t="inlineStr"/>
    </row>
    <row r="61">
      <c r="A61" s="30" t="n">
        <v>57</v>
      </c>
      <c r="B61" s="31" t="inlineStr">
        <is>
          <t>طبيب</t>
        </is>
      </c>
      <c r="C61" s="5" t="inlineStr">
        <is>
          <t>مقيم أنف وأذن وحنجرة</t>
        </is>
      </c>
      <c r="D61" s="32" t="n">
        <v>0</v>
      </c>
      <c r="E61" s="32" t="n">
        <v>0</v>
      </c>
      <c r="F61" s="32" t="n">
        <v>0</v>
      </c>
      <c r="G61" s="32" t="n">
        <v>3</v>
      </c>
      <c r="H61" s="32" t="n">
        <v>3</v>
      </c>
      <c r="I61" s="32" t="n">
        <v>5</v>
      </c>
      <c r="J61" s="33">
        <f>IF(RMODE="تقريب لأعلى",ROUNDUP(O61,0),ROUND(O61,0))</f>
        <v/>
      </c>
      <c r="K61" s="34" t="n"/>
      <c r="L61" s="35">
        <f>K61-J61</f>
        <v/>
      </c>
      <c r="M61" s="36">
        <f>IF(J61=0,"",K61/J61)</f>
        <v/>
      </c>
      <c r="N61" s="37">
        <f>IF(J61=0,"لا ينطبق",IF(K61&gt;=J61,"مكتمل",IF(K61=0,"لا يوجد","عجز")))</f>
        <v/>
      </c>
      <c r="O61" s="38">
        <f>IF(CAP&lt;=$D$4,D61*CAP/$D$4,IF(CAP&gt;=$I$4,I61*CAP/$I$4,INDEX($D61:$I61,$D$3)+$E$3*(INDEX($D61:$I61,$D$3+1)-INDEX($D61:$I61,$D$3))))</f>
        <v/>
      </c>
      <c r="P61" s="39" t="inlineStr"/>
    </row>
    <row r="62">
      <c r="A62" s="30" t="n">
        <v>58</v>
      </c>
      <c r="B62" s="31" t="inlineStr">
        <is>
          <t>طبيب</t>
        </is>
      </c>
      <c r="C62" s="5" t="inlineStr">
        <is>
          <t>استشاري جراحة أطفال</t>
        </is>
      </c>
      <c r="D62" s="32" t="n">
        <v>1</v>
      </c>
      <c r="E62" s="32" t="n">
        <v>2</v>
      </c>
      <c r="F62" s="32" t="n">
        <v>2</v>
      </c>
      <c r="G62" s="32" t="n">
        <v>3</v>
      </c>
      <c r="H62" s="32" t="n">
        <v>3</v>
      </c>
      <c r="I62" s="32" t="n">
        <v>4</v>
      </c>
      <c r="J62" s="33">
        <f>IF(RMODE="تقريب لأعلى",ROUNDUP(O62,0),ROUND(O62,0))</f>
        <v/>
      </c>
      <c r="K62" s="34" t="n"/>
      <c r="L62" s="35">
        <f>K62-J62</f>
        <v/>
      </c>
      <c r="M62" s="36">
        <f>IF(J62=0,"",K62/J62)</f>
        <v/>
      </c>
      <c r="N62" s="37">
        <f>IF(J62=0,"لا ينطبق",IF(K62&gt;=J62,"مكتمل",IF(K62=0,"لا يوجد","عجز")))</f>
        <v/>
      </c>
      <c r="O62" s="38">
        <f>IF(CAP&lt;=$D$4,D62*CAP/$D$4,IF(CAP&gt;=$I$4,I62*CAP/$I$4,INDEX($D62:$I62,$D$3)+$E$3*(INDEX($D62:$I62,$D$3+1)-INDEX($D62:$I62,$D$3))))</f>
        <v/>
      </c>
      <c r="P62" s="39" t="inlineStr"/>
    </row>
    <row r="63">
      <c r="A63" s="30" t="n">
        <v>59</v>
      </c>
      <c r="B63" s="31" t="inlineStr">
        <is>
          <t>طبيب</t>
        </is>
      </c>
      <c r="C63" s="5" t="inlineStr">
        <is>
          <t>أخصائي جراحة أطفال</t>
        </is>
      </c>
      <c r="D63" s="32" t="n">
        <v>2</v>
      </c>
      <c r="E63" s="32" t="n">
        <v>2</v>
      </c>
      <c r="F63" s="32" t="n">
        <v>2</v>
      </c>
      <c r="G63" s="32" t="n">
        <v>3</v>
      </c>
      <c r="H63" s="32" t="n">
        <v>4</v>
      </c>
      <c r="I63" s="32" t="n">
        <v>6</v>
      </c>
      <c r="J63" s="33">
        <f>IF(RMODE="تقريب لأعلى",ROUNDUP(O63,0),ROUND(O63,0))</f>
        <v/>
      </c>
      <c r="K63" s="34" t="n"/>
      <c r="L63" s="35">
        <f>K63-J63</f>
        <v/>
      </c>
      <c r="M63" s="36">
        <f>IF(J63=0,"",K63/J63)</f>
        <v/>
      </c>
      <c r="N63" s="37">
        <f>IF(J63=0,"لا ينطبق",IF(K63&gt;=J63,"مكتمل",IF(K63=0,"لا يوجد","عجز")))</f>
        <v/>
      </c>
      <c r="O63" s="38">
        <f>IF(CAP&lt;=$D$4,D63*CAP/$D$4,IF(CAP&gt;=$I$4,I63*CAP/$I$4,INDEX($D63:$I63,$D$3)+$E$3*(INDEX($D63:$I63,$D$3+1)-INDEX($D63:$I63,$D$3))))</f>
        <v/>
      </c>
      <c r="P63" s="39" t="inlineStr"/>
    </row>
    <row r="64">
      <c r="A64" s="30" t="n">
        <v>60</v>
      </c>
      <c r="B64" s="31" t="inlineStr">
        <is>
          <t>طبيب</t>
        </is>
      </c>
      <c r="C64" s="5" t="inlineStr">
        <is>
          <t>مقيم جراحة أطفال</t>
        </is>
      </c>
      <c r="D64" s="32" t="n">
        <v>0</v>
      </c>
      <c r="E64" s="32" t="n">
        <v>3</v>
      </c>
      <c r="F64" s="32" t="n">
        <v>3</v>
      </c>
      <c r="G64" s="32" t="n">
        <v>4</v>
      </c>
      <c r="H64" s="32" t="n">
        <v>4</v>
      </c>
      <c r="I64" s="32" t="n">
        <v>8</v>
      </c>
      <c r="J64" s="33">
        <f>IF(RMODE="تقريب لأعلى",ROUNDUP(O64,0),ROUND(O64,0))</f>
        <v/>
      </c>
      <c r="K64" s="34" t="n"/>
      <c r="L64" s="35">
        <f>K64-J64</f>
        <v/>
      </c>
      <c r="M64" s="36">
        <f>IF(J64=0,"",K64/J64)</f>
        <v/>
      </c>
      <c r="N64" s="37">
        <f>IF(J64=0,"لا ينطبق",IF(K64&gt;=J64,"مكتمل",IF(K64=0,"لا يوجد","عجز")))</f>
        <v/>
      </c>
      <c r="O64" s="38">
        <f>IF(CAP&lt;=$D$4,D64*CAP/$D$4,IF(CAP&gt;=$I$4,I64*CAP/$I$4,INDEX($D64:$I64,$D$3)+$E$3*(INDEX($D64:$I64,$D$3+1)-INDEX($D64:$I64,$D$3))))</f>
        <v/>
      </c>
      <c r="P64" s="39" t="inlineStr"/>
    </row>
    <row r="65">
      <c r="A65" s="30" t="n">
        <v>61</v>
      </c>
      <c r="B65" s="31" t="inlineStr">
        <is>
          <t>طبيب</t>
        </is>
      </c>
      <c r="C65" s="5" t="inlineStr">
        <is>
          <t>استشاري عقم وأطفال أنابيب</t>
        </is>
      </c>
      <c r="D65" s="32" t="n">
        <v>1</v>
      </c>
      <c r="E65" s="32" t="n">
        <v>1</v>
      </c>
      <c r="F65" s="32" t="n">
        <v>1</v>
      </c>
      <c r="G65" s="32" t="n">
        <v>2</v>
      </c>
      <c r="H65" s="32" t="n">
        <v>2</v>
      </c>
      <c r="I65" s="32" t="n">
        <v>3</v>
      </c>
      <c r="J65" s="33">
        <f>IF(RMODE="تقريب لأعلى",ROUNDUP(O65,0),ROUND(O65,0))</f>
        <v/>
      </c>
      <c r="K65" s="34" t="n"/>
      <c r="L65" s="35">
        <f>K65-J65</f>
        <v/>
      </c>
      <c r="M65" s="36">
        <f>IF(J65=0,"",K65/J65)</f>
        <v/>
      </c>
      <c r="N65" s="37">
        <f>IF(J65=0,"لا ينطبق",IF(K65&gt;=J65,"مكتمل",IF(K65=0,"لا يوجد","عجز")))</f>
        <v/>
      </c>
      <c r="O65" s="38">
        <f>IF(CAP&lt;=$D$4,D65*CAP/$D$4,IF(CAP&gt;=$I$4,I65*CAP/$I$4,INDEX($D65:$I65,$D$3)+$E$3*(INDEX($D65:$I65,$D$3+1)-INDEX($D65:$I65,$D$3))))</f>
        <v/>
      </c>
      <c r="P65" s="39" t="inlineStr"/>
    </row>
    <row r="66">
      <c r="A66" s="30" t="n">
        <v>62</v>
      </c>
      <c r="B66" s="31" t="inlineStr">
        <is>
          <t>طبيب</t>
        </is>
      </c>
      <c r="C66" s="5" t="inlineStr">
        <is>
          <t>أخصائي عقم وأطفال أنابيب</t>
        </is>
      </c>
      <c r="D66" s="32" t="n">
        <v>0</v>
      </c>
      <c r="E66" s="32" t="n">
        <v>0</v>
      </c>
      <c r="F66" s="32" t="n">
        <v>0</v>
      </c>
      <c r="G66" s="32" t="n">
        <v>0</v>
      </c>
      <c r="H66" s="32" t="n">
        <v>2</v>
      </c>
      <c r="I66" s="32" t="n">
        <v>3</v>
      </c>
      <c r="J66" s="33">
        <f>IF(RMODE="تقريب لأعلى",ROUNDUP(O66,0),ROUND(O66,0))</f>
        <v/>
      </c>
      <c r="K66" s="34" t="n"/>
      <c r="L66" s="35">
        <f>K66-J66</f>
        <v/>
      </c>
      <c r="M66" s="36">
        <f>IF(J66=0,"",K66/J66)</f>
        <v/>
      </c>
      <c r="N66" s="37">
        <f>IF(J66=0,"لا ينطبق",IF(K66&gt;=J66,"مكتمل",IF(K66=0,"لا يوجد","عجز")))</f>
        <v/>
      </c>
      <c r="O66" s="38">
        <f>IF(CAP&lt;=$D$4,D66*CAP/$D$4,IF(CAP&gt;=$I$4,I66*CAP/$I$4,INDEX($D66:$I66,$D$3)+$E$3*(INDEX($D66:$I66,$D$3+1)-INDEX($D66:$I66,$D$3))))</f>
        <v/>
      </c>
      <c r="P66" s="39" t="inlineStr"/>
    </row>
    <row r="67">
      <c r="A67" s="30" t="n">
        <v>63</v>
      </c>
      <c r="B67" s="31" t="inlineStr">
        <is>
          <t>طبيب</t>
        </is>
      </c>
      <c r="C67" s="5" t="inlineStr">
        <is>
          <t>استشاري أمراض نساء طب أجنة</t>
        </is>
      </c>
      <c r="D67" s="32" t="n">
        <v>2</v>
      </c>
      <c r="E67" s="32" t="n">
        <v>2</v>
      </c>
      <c r="F67" s="32" t="n">
        <v>3</v>
      </c>
      <c r="G67" s="32" t="n">
        <v>4</v>
      </c>
      <c r="H67" s="32" t="n">
        <v>5</v>
      </c>
      <c r="I67" s="32" t="n">
        <v>6</v>
      </c>
      <c r="J67" s="33">
        <f>IF(RMODE="تقريب لأعلى",ROUNDUP(O67,0),ROUND(O67,0))</f>
        <v/>
      </c>
      <c r="K67" s="34" t="n"/>
      <c r="L67" s="35">
        <f>K67-J67</f>
        <v/>
      </c>
      <c r="M67" s="36">
        <f>IF(J67=0,"",K67/J67)</f>
        <v/>
      </c>
      <c r="N67" s="37">
        <f>IF(J67=0,"لا ينطبق",IF(K67&gt;=J67,"مكتمل",IF(K67=0,"لا يوجد","عجز")))</f>
        <v/>
      </c>
      <c r="O67" s="38">
        <f>IF(CAP&lt;=$D$4,D67*CAP/$D$4,IF(CAP&gt;=$I$4,I67*CAP/$I$4,INDEX($D67:$I67,$D$3)+$E$3*(INDEX($D67:$I67,$D$3+1)-INDEX($D67:$I67,$D$3))))</f>
        <v/>
      </c>
      <c r="P67" s="39" t="inlineStr"/>
    </row>
    <row r="68">
      <c r="A68" s="30" t="n">
        <v>64</v>
      </c>
      <c r="B68" s="31" t="inlineStr">
        <is>
          <t>طبيب</t>
        </is>
      </c>
      <c r="C68" s="5" t="inlineStr">
        <is>
          <t>أخصائي أمراض نساء طب أجنة</t>
        </is>
      </c>
      <c r="D68" s="32" t="n">
        <v>1</v>
      </c>
      <c r="E68" s="32" t="n">
        <v>1</v>
      </c>
      <c r="F68" s="32" t="n">
        <v>1</v>
      </c>
      <c r="G68" s="32" t="n">
        <v>1</v>
      </c>
      <c r="H68" s="32" t="n">
        <v>2</v>
      </c>
      <c r="I68" s="32" t="n">
        <v>3</v>
      </c>
      <c r="J68" s="33">
        <f>IF(RMODE="تقريب لأعلى",ROUNDUP(O68,0),ROUND(O68,0))</f>
        <v/>
      </c>
      <c r="K68" s="34" t="n"/>
      <c r="L68" s="35">
        <f>K68-J68</f>
        <v/>
      </c>
      <c r="M68" s="36">
        <f>IF(J68=0,"",K68/J68)</f>
        <v/>
      </c>
      <c r="N68" s="37">
        <f>IF(J68=0,"لا ينطبق",IF(K68&gt;=J68,"مكتمل",IF(K68=0,"لا يوجد","عجز")))</f>
        <v/>
      </c>
      <c r="O68" s="38">
        <f>IF(CAP&lt;=$D$4,D68*CAP/$D$4,IF(CAP&gt;=$I$4,I68*CAP/$I$4,INDEX($D68:$I68,$D$3)+$E$3*(INDEX($D68:$I68,$D$3+1)-INDEX($D68:$I68,$D$3))))</f>
        <v/>
      </c>
      <c r="P68" s="39" t="inlineStr"/>
    </row>
    <row r="69">
      <c r="A69" s="30" t="n">
        <v>65</v>
      </c>
      <c r="B69" s="31" t="inlineStr">
        <is>
          <t>طبيب</t>
        </is>
      </c>
      <c r="C69" s="5" t="inlineStr">
        <is>
          <t>استشاري أطفال</t>
        </is>
      </c>
      <c r="D69" s="32" t="n">
        <v>3</v>
      </c>
      <c r="E69" s="32" t="n">
        <v>4</v>
      </c>
      <c r="F69" s="32" t="n">
        <v>6</v>
      </c>
      <c r="G69" s="32" t="n">
        <v>8</v>
      </c>
      <c r="H69" s="32" t="n">
        <v>10</v>
      </c>
      <c r="I69" s="32" t="n">
        <v>20</v>
      </c>
      <c r="J69" s="33">
        <f>IF(RMODE="تقريب لأعلى",ROUNDUP(O69,0),ROUND(O69,0))</f>
        <v/>
      </c>
      <c r="K69" s="34" t="n"/>
      <c r="L69" s="35">
        <f>K69-J69</f>
        <v/>
      </c>
      <c r="M69" s="36">
        <f>IF(J69=0,"",K69/J69)</f>
        <v/>
      </c>
      <c r="N69" s="37">
        <f>IF(J69=0,"لا ينطبق",IF(K69&gt;=J69,"مكتمل",IF(K69=0,"لا يوجد","عجز")))</f>
        <v/>
      </c>
      <c r="O69" s="38">
        <f>IF(CAP&lt;=$D$4,D69*CAP/$D$4,IF(CAP&gt;=$I$4,I69*CAP/$I$4,INDEX($D69:$I69,$D$3)+$E$3*(INDEX($D69:$I69,$D$3+1)-INDEX($D69:$I69,$D$3))))</f>
        <v/>
      </c>
      <c r="P69" s="39" t="inlineStr"/>
    </row>
    <row r="70">
      <c r="A70" s="30" t="n">
        <v>66</v>
      </c>
      <c r="B70" s="31" t="inlineStr">
        <is>
          <t>طبيب</t>
        </is>
      </c>
      <c r="C70" s="5" t="inlineStr">
        <is>
          <t>أخصائي أطفال</t>
        </is>
      </c>
      <c r="D70" s="32" t="n">
        <v>4</v>
      </c>
      <c r="E70" s="32" t="n">
        <v>6</v>
      </c>
      <c r="F70" s="32" t="n">
        <v>8</v>
      </c>
      <c r="G70" s="32" t="n">
        <v>10</v>
      </c>
      <c r="H70" s="32" t="n">
        <v>15</v>
      </c>
      <c r="I70" s="32" t="n">
        <v>25</v>
      </c>
      <c r="J70" s="33">
        <f>IF(RMODE="تقريب لأعلى",ROUNDUP(O70,0),ROUND(O70,0))</f>
        <v/>
      </c>
      <c r="K70" s="34" t="n"/>
      <c r="L70" s="35">
        <f>K70-J70</f>
        <v/>
      </c>
      <c r="M70" s="36">
        <f>IF(J70=0,"",K70/J70)</f>
        <v/>
      </c>
      <c r="N70" s="37">
        <f>IF(J70=0,"لا ينطبق",IF(K70&gt;=J70,"مكتمل",IF(K70=0,"لا يوجد","عجز")))</f>
        <v/>
      </c>
      <c r="O70" s="38">
        <f>IF(CAP&lt;=$D$4,D70*CAP/$D$4,IF(CAP&gt;=$I$4,I70*CAP/$I$4,INDEX($D70:$I70,$D$3)+$E$3*(INDEX($D70:$I70,$D$3+1)-INDEX($D70:$I70,$D$3))))</f>
        <v/>
      </c>
      <c r="P70" s="39" t="inlineStr"/>
    </row>
    <row r="71">
      <c r="A71" s="30" t="n">
        <v>67</v>
      </c>
      <c r="B71" s="31" t="inlineStr">
        <is>
          <t>طبيب</t>
        </is>
      </c>
      <c r="C71" s="5" t="inlineStr">
        <is>
          <t>مقيم أطفال</t>
        </is>
      </c>
      <c r="D71" s="32" t="n">
        <v>10</v>
      </c>
      <c r="E71" s="32" t="n">
        <v>12</v>
      </c>
      <c r="F71" s="32" t="n">
        <v>15</v>
      </c>
      <c r="G71" s="32" t="n">
        <v>20</v>
      </c>
      <c r="H71" s="32" t="n">
        <v>25</v>
      </c>
      <c r="I71" s="32" t="n">
        <v>30</v>
      </c>
      <c r="J71" s="33">
        <f>IF(RMODE="تقريب لأعلى",ROUNDUP(O71,0),ROUND(O71,0))</f>
        <v/>
      </c>
      <c r="K71" s="34" t="n"/>
      <c r="L71" s="35">
        <f>K71-J71</f>
        <v/>
      </c>
      <c r="M71" s="36">
        <f>IF(J71=0,"",K71/J71)</f>
        <v/>
      </c>
      <c r="N71" s="37">
        <f>IF(J71=0,"لا ينطبق",IF(K71&gt;=J71,"مكتمل",IF(K71=0,"لا يوجد","عجز")))</f>
        <v/>
      </c>
      <c r="O71" s="38">
        <f>IF(CAP&lt;=$D$4,D71*CAP/$D$4,IF(CAP&gt;=$I$4,I71*CAP/$I$4,INDEX($D71:$I71,$D$3)+$E$3*(INDEX($D71:$I71,$D$3+1)-INDEX($D71:$I71,$D$3))))</f>
        <v/>
      </c>
      <c r="P71" s="39" t="inlineStr"/>
    </row>
    <row r="72">
      <c r="A72" s="30" t="n">
        <v>68</v>
      </c>
      <c r="B72" s="31" t="inlineStr">
        <is>
          <t>طبيب</t>
        </is>
      </c>
      <c r="C72" s="5" t="inlineStr">
        <is>
          <t>استشاري عناية مركزة حديثي الولادة</t>
        </is>
      </c>
      <c r="D72" s="32" t="n">
        <v>3</v>
      </c>
      <c r="E72" s="32" t="n">
        <v>3</v>
      </c>
      <c r="F72" s="32" t="n">
        <v>4</v>
      </c>
      <c r="G72" s="32" t="n">
        <v>5</v>
      </c>
      <c r="H72" s="32" t="n">
        <v>7</v>
      </c>
      <c r="I72" s="32" t="n">
        <v>10</v>
      </c>
      <c r="J72" s="33">
        <f>IF(RMODE="تقريب لأعلى",ROUNDUP(O72,0),ROUND(O72,0))</f>
        <v/>
      </c>
      <c r="K72" s="34" t="n"/>
      <c r="L72" s="35">
        <f>K72-J72</f>
        <v/>
      </c>
      <c r="M72" s="36">
        <f>IF(J72=0,"",K72/J72)</f>
        <v/>
      </c>
      <c r="N72" s="37">
        <f>IF(J72=0,"لا ينطبق",IF(K72&gt;=J72,"مكتمل",IF(K72=0,"لا يوجد","عجز")))</f>
        <v/>
      </c>
      <c r="O72" s="38">
        <f>IF(CAP&lt;=$D$4,D72*CAP/$D$4,IF(CAP&gt;=$I$4,I72*CAP/$I$4,INDEX($D72:$I72,$D$3)+$E$3*(INDEX($D72:$I72,$D$3+1)-INDEX($D72:$I72,$D$3))))</f>
        <v/>
      </c>
      <c r="P72" s="39" t="inlineStr">
        <is>
          <t>إيضاح 14</t>
        </is>
      </c>
    </row>
    <row r="73">
      <c r="A73" s="30" t="n">
        <v>69</v>
      </c>
      <c r="B73" s="31" t="inlineStr">
        <is>
          <t>طبيب</t>
        </is>
      </c>
      <c r="C73" s="5" t="inlineStr">
        <is>
          <t>أخصائي عناية مركزة حديثي الولادة</t>
        </is>
      </c>
      <c r="D73" s="32" t="n">
        <v>5</v>
      </c>
      <c r="E73" s="32" t="n">
        <v>6</v>
      </c>
      <c r="F73" s="32" t="n">
        <v>8</v>
      </c>
      <c r="G73" s="32" t="n">
        <v>10</v>
      </c>
      <c r="H73" s="32" t="n">
        <v>15</v>
      </c>
      <c r="I73" s="32" t="n">
        <v>20</v>
      </c>
      <c r="J73" s="33">
        <f>IF(RMODE="تقريب لأعلى",ROUNDUP(O73,0),ROUND(O73,0))</f>
        <v/>
      </c>
      <c r="K73" s="34" t="n"/>
      <c r="L73" s="35">
        <f>K73-J73</f>
        <v/>
      </c>
      <c r="M73" s="36">
        <f>IF(J73=0,"",K73/J73)</f>
        <v/>
      </c>
      <c r="N73" s="37">
        <f>IF(J73=0,"لا ينطبق",IF(K73&gt;=J73,"مكتمل",IF(K73=0,"لا يوجد","عجز")))</f>
        <v/>
      </c>
      <c r="O73" s="38">
        <f>IF(CAP&lt;=$D$4,D73*CAP/$D$4,IF(CAP&gt;=$I$4,I73*CAP/$I$4,INDEX($D73:$I73,$D$3)+$E$3*(INDEX($D73:$I73,$D$3+1)-INDEX($D73:$I73,$D$3))))</f>
        <v/>
      </c>
      <c r="P73" s="39" t="inlineStr">
        <is>
          <t>إيضاح 14</t>
        </is>
      </c>
    </row>
    <row r="74">
      <c r="A74" s="30" t="n">
        <v>70</v>
      </c>
      <c r="B74" s="31" t="inlineStr">
        <is>
          <t>طبيب</t>
        </is>
      </c>
      <c r="C74" s="5" t="inlineStr">
        <is>
          <t>مقيم عناية مركزة حديثي الولادة</t>
        </is>
      </c>
      <c r="D74" s="32" t="n">
        <v>2</v>
      </c>
      <c r="E74" s="32" t="n">
        <v>2</v>
      </c>
      <c r="F74" s="32" t="n">
        <v>2</v>
      </c>
      <c r="G74" s="32" t="n">
        <v>4</v>
      </c>
      <c r="H74" s="32" t="n">
        <v>4</v>
      </c>
      <c r="I74" s="32" t="n">
        <v>5</v>
      </c>
      <c r="J74" s="33">
        <f>IF(RMODE="تقريب لأعلى",ROUNDUP(O74,0),ROUND(O74,0))</f>
        <v/>
      </c>
      <c r="K74" s="34" t="n"/>
      <c r="L74" s="35">
        <f>K74-J74</f>
        <v/>
      </c>
      <c r="M74" s="36">
        <f>IF(J74=0,"",K74/J74)</f>
        <v/>
      </c>
      <c r="N74" s="37">
        <f>IF(J74=0,"لا ينطبق",IF(K74&gt;=J74,"مكتمل",IF(K74=0,"لا يوجد","عجز")))</f>
        <v/>
      </c>
      <c r="O74" s="38">
        <f>IF(CAP&lt;=$D$4,D74*CAP/$D$4,IF(CAP&gt;=$I$4,I74*CAP/$I$4,INDEX($D74:$I74,$D$3)+$E$3*(INDEX($D74:$I74,$D$3+1)-INDEX($D74:$I74,$D$3))))</f>
        <v/>
      </c>
      <c r="P74" s="39" t="inlineStr">
        <is>
          <t>إيضاح 14</t>
        </is>
      </c>
    </row>
    <row r="75">
      <c r="A75" s="30" t="n">
        <v>71</v>
      </c>
      <c r="B75" s="31" t="inlineStr">
        <is>
          <t>طبيب</t>
        </is>
      </c>
      <c r="C75" s="5" t="inlineStr">
        <is>
          <t>استشاري عناية مركزة أطفال</t>
        </is>
      </c>
      <c r="D75" s="32" t="n">
        <v>2</v>
      </c>
      <c r="E75" s="32" t="n">
        <v>3</v>
      </c>
      <c r="F75" s="32" t="n">
        <v>4</v>
      </c>
      <c r="G75" s="32" t="n">
        <v>5</v>
      </c>
      <c r="H75" s="32" t="n">
        <v>6</v>
      </c>
      <c r="I75" s="32" t="n">
        <v>7</v>
      </c>
      <c r="J75" s="33">
        <f>IF(RMODE="تقريب لأعلى",ROUNDUP(O75,0),ROUND(O75,0))</f>
        <v/>
      </c>
      <c r="K75" s="34" t="n"/>
      <c r="L75" s="35">
        <f>K75-J75</f>
        <v/>
      </c>
      <c r="M75" s="36">
        <f>IF(J75=0,"",K75/J75)</f>
        <v/>
      </c>
      <c r="N75" s="37">
        <f>IF(J75=0,"لا ينطبق",IF(K75&gt;=J75,"مكتمل",IF(K75=0,"لا يوجد","عجز")))</f>
        <v/>
      </c>
      <c r="O75" s="38">
        <f>IF(CAP&lt;=$D$4,D75*CAP/$D$4,IF(CAP&gt;=$I$4,I75*CAP/$I$4,INDEX($D75:$I75,$D$3)+$E$3*(INDEX($D75:$I75,$D$3+1)-INDEX($D75:$I75,$D$3))))</f>
        <v/>
      </c>
      <c r="P75" s="39" t="inlineStr">
        <is>
          <t>إيضاح 14</t>
        </is>
      </c>
    </row>
    <row r="76">
      <c r="A76" s="30" t="n">
        <v>72</v>
      </c>
      <c r="B76" s="31" t="inlineStr">
        <is>
          <t>طبيب</t>
        </is>
      </c>
      <c r="C76" s="5" t="inlineStr">
        <is>
          <t>أخصائي عناية مركزة أطفال</t>
        </is>
      </c>
      <c r="D76" s="32" t="n">
        <v>4</v>
      </c>
      <c r="E76" s="32" t="n">
        <v>6</v>
      </c>
      <c r="F76" s="32" t="n">
        <v>8</v>
      </c>
      <c r="G76" s="32" t="n">
        <v>10</v>
      </c>
      <c r="H76" s="32" t="n">
        <v>12</v>
      </c>
      <c r="I76" s="32" t="n">
        <v>14</v>
      </c>
      <c r="J76" s="33">
        <f>IF(RMODE="تقريب لأعلى",ROUNDUP(O76,0),ROUND(O76,0))</f>
        <v/>
      </c>
      <c r="K76" s="34" t="n"/>
      <c r="L76" s="35">
        <f>K76-J76</f>
        <v/>
      </c>
      <c r="M76" s="36">
        <f>IF(J76=0,"",K76/J76)</f>
        <v/>
      </c>
      <c r="N76" s="37">
        <f>IF(J76=0,"لا ينطبق",IF(K76&gt;=J76,"مكتمل",IF(K76=0,"لا يوجد","عجز")))</f>
        <v/>
      </c>
      <c r="O76" s="38">
        <f>IF(CAP&lt;=$D$4,D76*CAP/$D$4,IF(CAP&gt;=$I$4,I76*CAP/$I$4,INDEX($D76:$I76,$D$3)+$E$3*(INDEX($D76:$I76,$D$3+1)-INDEX($D76:$I76,$D$3))))</f>
        <v/>
      </c>
      <c r="P76" s="39" t="inlineStr">
        <is>
          <t>إيضاح 14</t>
        </is>
      </c>
    </row>
    <row r="77">
      <c r="A77" s="30" t="n">
        <v>73</v>
      </c>
      <c r="B77" s="31" t="inlineStr">
        <is>
          <t>طبيب</t>
        </is>
      </c>
      <c r="C77" s="5" t="inlineStr">
        <is>
          <t>مقيم عناية مركزة أطفال</t>
        </is>
      </c>
      <c r="D77" s="32" t="n">
        <v>2</v>
      </c>
      <c r="E77" s="32" t="n">
        <v>2</v>
      </c>
      <c r="F77" s="32" t="n">
        <v>2</v>
      </c>
      <c r="G77" s="32" t="n">
        <v>3</v>
      </c>
      <c r="H77" s="32" t="n">
        <v>4</v>
      </c>
      <c r="I77" s="32" t="n">
        <v>5</v>
      </c>
      <c r="J77" s="33">
        <f>IF(RMODE="تقريب لأعلى",ROUNDUP(O77,0),ROUND(O77,0))</f>
        <v/>
      </c>
      <c r="K77" s="34" t="n"/>
      <c r="L77" s="35">
        <f>K77-J77</f>
        <v/>
      </c>
      <c r="M77" s="36">
        <f>IF(J77=0,"",K77/J77)</f>
        <v/>
      </c>
      <c r="N77" s="37">
        <f>IF(J77=0,"لا ينطبق",IF(K77&gt;=J77,"مكتمل",IF(K77=0,"لا يوجد","عجز")))</f>
        <v/>
      </c>
      <c r="O77" s="38">
        <f>IF(CAP&lt;=$D$4,D77*CAP/$D$4,IF(CAP&gt;=$I$4,I77*CAP/$I$4,INDEX($D77:$I77,$D$3)+$E$3*(INDEX($D77:$I77,$D$3+1)-INDEX($D77:$I77,$D$3))))</f>
        <v/>
      </c>
      <c r="P77" s="39" t="inlineStr">
        <is>
          <t>إيضاح 14</t>
        </is>
      </c>
    </row>
    <row r="78">
      <c r="A78" s="30" t="n">
        <v>74</v>
      </c>
      <c r="B78" s="31" t="inlineStr">
        <is>
          <t>طبيب</t>
        </is>
      </c>
      <c r="C78" s="5" t="inlineStr">
        <is>
          <t>استشاري تخدير</t>
        </is>
      </c>
      <c r="D78" s="32" t="n">
        <v>2</v>
      </c>
      <c r="E78" s="32" t="n">
        <v>3</v>
      </c>
      <c r="F78" s="32" t="n">
        <v>5</v>
      </c>
      <c r="G78" s="32" t="n">
        <v>6</v>
      </c>
      <c r="H78" s="32" t="n">
        <v>8</v>
      </c>
      <c r="I78" s="32" t="n">
        <v>12</v>
      </c>
      <c r="J78" s="33">
        <f>IF(RMODE="تقريب لأعلى",ROUNDUP(O78,0),ROUND(O78,0))</f>
        <v/>
      </c>
      <c r="K78" s="34" t="n"/>
      <c r="L78" s="35">
        <f>K78-J78</f>
        <v/>
      </c>
      <c r="M78" s="36">
        <f>IF(J78=0,"",K78/J78)</f>
        <v/>
      </c>
      <c r="N78" s="37">
        <f>IF(J78=0,"لا ينطبق",IF(K78&gt;=J78,"مكتمل",IF(K78=0,"لا يوجد","عجز")))</f>
        <v/>
      </c>
      <c r="O78" s="38">
        <f>IF(CAP&lt;=$D$4,D78*CAP/$D$4,IF(CAP&gt;=$I$4,I78*CAP/$I$4,INDEX($D78:$I78,$D$3)+$E$3*(INDEX($D78:$I78,$D$3+1)-INDEX($D78:$I78,$D$3))))</f>
        <v/>
      </c>
      <c r="P78" s="39" t="inlineStr"/>
    </row>
    <row r="79">
      <c r="A79" s="30" t="n">
        <v>75</v>
      </c>
      <c r="B79" s="31" t="inlineStr">
        <is>
          <t>طبيب</t>
        </is>
      </c>
      <c r="C79" s="5" t="inlineStr">
        <is>
          <t>أخصائي تخدير</t>
        </is>
      </c>
      <c r="D79" s="32" t="n">
        <v>3</v>
      </c>
      <c r="E79" s="32" t="n">
        <v>4</v>
      </c>
      <c r="F79" s="32" t="n">
        <v>6</v>
      </c>
      <c r="G79" s="32" t="n">
        <v>10</v>
      </c>
      <c r="H79" s="32" t="n">
        <v>14</v>
      </c>
      <c r="I79" s="32" t="n">
        <v>16</v>
      </c>
      <c r="J79" s="33">
        <f>IF(RMODE="تقريب لأعلى",ROUNDUP(O79,0),ROUND(O79,0))</f>
        <v/>
      </c>
      <c r="K79" s="34" t="n"/>
      <c r="L79" s="35">
        <f>K79-J79</f>
        <v/>
      </c>
      <c r="M79" s="36">
        <f>IF(J79=0,"",K79/J79)</f>
        <v/>
      </c>
      <c r="N79" s="37">
        <f>IF(J79=0,"لا ينطبق",IF(K79&gt;=J79,"مكتمل",IF(K79=0,"لا يوجد","عجز")))</f>
        <v/>
      </c>
      <c r="O79" s="38">
        <f>IF(CAP&lt;=$D$4,D79*CAP/$D$4,IF(CAP&gt;=$I$4,I79*CAP/$I$4,INDEX($D79:$I79,$D$3)+$E$3*(INDEX($D79:$I79,$D$3+1)-INDEX($D79:$I79,$D$3))))</f>
        <v/>
      </c>
      <c r="P79" s="39" t="inlineStr"/>
    </row>
    <row r="80">
      <c r="A80" s="30" t="n">
        <v>76</v>
      </c>
      <c r="B80" s="31" t="inlineStr">
        <is>
          <t>طبيب</t>
        </is>
      </c>
      <c r="C80" s="5" t="inlineStr">
        <is>
          <t>مقيم تخدير</t>
        </is>
      </c>
      <c r="D80" s="32" t="n">
        <v>0</v>
      </c>
      <c r="E80" s="32" t="n">
        <v>3</v>
      </c>
      <c r="F80" s="32" t="n">
        <v>3</v>
      </c>
      <c r="G80" s="32" t="n">
        <v>4</v>
      </c>
      <c r="H80" s="32" t="n">
        <v>5</v>
      </c>
      <c r="I80" s="32" t="n">
        <v>7</v>
      </c>
      <c r="J80" s="33">
        <f>IF(RMODE="تقريب لأعلى",ROUNDUP(O80,0),ROUND(O80,0))</f>
        <v/>
      </c>
      <c r="K80" s="34" t="n"/>
      <c r="L80" s="35">
        <f>K80-J80</f>
        <v/>
      </c>
      <c r="M80" s="36">
        <f>IF(J80=0,"",K80/J80)</f>
        <v/>
      </c>
      <c r="N80" s="37">
        <f>IF(J80=0,"لا ينطبق",IF(K80&gt;=J80,"مكتمل",IF(K80=0,"لا يوجد","عجز")))</f>
        <v/>
      </c>
      <c r="O80" s="38">
        <f>IF(CAP&lt;=$D$4,D80*CAP/$D$4,IF(CAP&gt;=$I$4,I80*CAP/$I$4,INDEX($D80:$I80,$D$3)+$E$3*(INDEX($D80:$I80,$D$3+1)-INDEX($D80:$I80,$D$3))))</f>
        <v/>
      </c>
      <c r="P80" s="39" t="inlineStr"/>
    </row>
    <row r="81">
      <c r="A81" s="30" t="n">
        <v>77</v>
      </c>
      <c r="B81" s="31" t="inlineStr">
        <is>
          <t>طبيب</t>
        </is>
      </c>
      <c r="C81" s="5" t="inlineStr">
        <is>
          <t>استشاري إسعاف وطوارئ أطفال</t>
        </is>
      </c>
      <c r="D81" s="32" t="n">
        <v>0</v>
      </c>
      <c r="E81" s="32" t="n">
        <v>6</v>
      </c>
      <c r="F81" s="32" t="n">
        <v>7</v>
      </c>
      <c r="G81" s="32" t="n">
        <v>8</v>
      </c>
      <c r="H81" s="32" t="n">
        <v>9</v>
      </c>
      <c r="I81" s="32" t="n">
        <v>9</v>
      </c>
      <c r="J81" s="33">
        <f>IF(RMODE="تقريب لأعلى",ROUNDUP(O81,0),ROUND(O81,0))</f>
        <v/>
      </c>
      <c r="K81" s="34" t="n"/>
      <c r="L81" s="35">
        <f>K81-J81</f>
        <v/>
      </c>
      <c r="M81" s="36">
        <f>IF(J81=0,"",K81/J81)</f>
        <v/>
      </c>
      <c r="N81" s="37">
        <f>IF(J81=0,"لا ينطبق",IF(K81&gt;=J81,"مكتمل",IF(K81=0,"لا يوجد","عجز")))</f>
        <v/>
      </c>
      <c r="O81" s="38">
        <f>IF(CAP&lt;=$D$4,D81*CAP/$D$4,IF(CAP&gt;=$I$4,I81*CAP/$I$4,INDEX($D81:$I81,$D$3)+$E$3*(INDEX($D81:$I81,$D$3+1)-INDEX($D81:$I81,$D$3))))</f>
        <v/>
      </c>
      <c r="P81" s="39" t="inlineStr">
        <is>
          <t>إيضاحات 15-18</t>
        </is>
      </c>
    </row>
    <row r="82">
      <c r="A82" s="30" t="n">
        <v>78</v>
      </c>
      <c r="B82" s="31" t="inlineStr">
        <is>
          <t>طبيب</t>
        </is>
      </c>
      <c r="C82" s="5" t="inlineStr">
        <is>
          <t>أخصائي إسعاف وطوارئ أطفال</t>
        </is>
      </c>
      <c r="D82" s="32" t="n">
        <v>5</v>
      </c>
      <c r="E82" s="32" t="n">
        <v>6</v>
      </c>
      <c r="F82" s="32" t="n">
        <v>6</v>
      </c>
      <c r="G82" s="32" t="n">
        <v>7</v>
      </c>
      <c r="H82" s="32" t="n">
        <v>8</v>
      </c>
      <c r="I82" s="32" t="n">
        <v>8</v>
      </c>
      <c r="J82" s="33">
        <f>IF(RMODE="تقريب لأعلى",ROUNDUP(O82,0),ROUND(O82,0))</f>
        <v/>
      </c>
      <c r="K82" s="34" t="n"/>
      <c r="L82" s="35">
        <f>K82-J82</f>
        <v/>
      </c>
      <c r="M82" s="36">
        <f>IF(J82=0,"",K82/J82)</f>
        <v/>
      </c>
      <c r="N82" s="37">
        <f>IF(J82=0,"لا ينطبق",IF(K82&gt;=J82,"مكتمل",IF(K82=0,"لا يوجد","عجز")))</f>
        <v/>
      </c>
      <c r="O82" s="38">
        <f>IF(CAP&lt;=$D$4,D82*CAP/$D$4,IF(CAP&gt;=$I$4,I82*CAP/$I$4,INDEX($D82:$I82,$D$3)+$E$3*(INDEX($D82:$I82,$D$3+1)-INDEX($D82:$I82,$D$3))))</f>
        <v/>
      </c>
      <c r="P82" s="39" t="inlineStr">
        <is>
          <t>إيضاحات 15-18</t>
        </is>
      </c>
    </row>
    <row r="83">
      <c r="A83" s="30" t="n">
        <v>79</v>
      </c>
      <c r="B83" s="31" t="inlineStr">
        <is>
          <t>طبيب</t>
        </is>
      </c>
      <c r="C83" s="5" t="inlineStr">
        <is>
          <t>مقيم إسعاف وطوارئ أطفال</t>
        </is>
      </c>
      <c r="D83" s="32" t="n">
        <v>7</v>
      </c>
      <c r="E83" s="32" t="n">
        <v>10</v>
      </c>
      <c r="F83" s="32" t="n">
        <v>12</v>
      </c>
      <c r="G83" s="32" t="n">
        <v>12</v>
      </c>
      <c r="H83" s="32" t="n">
        <v>12</v>
      </c>
      <c r="I83" s="32" t="n">
        <v>16</v>
      </c>
      <c r="J83" s="33">
        <f>IF(RMODE="تقريب لأعلى",ROUNDUP(O83,0),ROUND(O83,0))</f>
        <v/>
      </c>
      <c r="K83" s="34" t="n"/>
      <c r="L83" s="35">
        <f>K83-J83</f>
        <v/>
      </c>
      <c r="M83" s="36">
        <f>IF(J83=0,"",K83/J83)</f>
        <v/>
      </c>
      <c r="N83" s="37">
        <f>IF(J83=0,"لا ينطبق",IF(K83&gt;=J83,"مكتمل",IF(K83=0,"لا يوجد","عجز")))</f>
        <v/>
      </c>
      <c r="O83" s="38">
        <f>IF(CAP&lt;=$D$4,D83*CAP/$D$4,IF(CAP&gt;=$I$4,I83*CAP/$I$4,INDEX($D83:$I83,$D$3)+$E$3*(INDEX($D83:$I83,$D$3+1)-INDEX($D83:$I83,$D$3))))</f>
        <v/>
      </c>
      <c r="P83" s="39" t="inlineStr">
        <is>
          <t>إيضاحات 15-18</t>
        </is>
      </c>
    </row>
    <row r="84">
      <c r="A84" s="30" t="n">
        <v>80</v>
      </c>
      <c r="B84" s="31" t="inlineStr">
        <is>
          <t>طبيب</t>
        </is>
      </c>
      <c r="C84" s="5" t="inlineStr">
        <is>
          <t>استشاري أشعة</t>
        </is>
      </c>
      <c r="D84" s="32" t="n">
        <v>1</v>
      </c>
      <c r="E84" s="32" t="n">
        <v>2</v>
      </c>
      <c r="F84" s="32" t="n">
        <v>2</v>
      </c>
      <c r="G84" s="32" t="n">
        <v>3</v>
      </c>
      <c r="H84" s="32" t="n">
        <v>13</v>
      </c>
      <c r="I84" s="32" t="n">
        <v>13</v>
      </c>
      <c r="J84" s="33">
        <f>IF(RMODE="تقريب لأعلى",ROUNDUP(O84,0),ROUND(O84,0))</f>
        <v/>
      </c>
      <c r="K84" s="34" t="n"/>
      <c r="L84" s="35">
        <f>K84-J84</f>
        <v/>
      </c>
      <c r="M84" s="36">
        <f>IF(J84=0,"",K84/J84)</f>
        <v/>
      </c>
      <c r="N84" s="37">
        <f>IF(J84=0,"لا ينطبق",IF(K84&gt;=J84,"مكتمل",IF(K84=0,"لا يوجد","عجز")))</f>
        <v/>
      </c>
      <c r="O84" s="38">
        <f>IF(CAP&lt;=$D$4,D84*CAP/$D$4,IF(CAP&gt;=$I$4,I84*CAP/$I$4,INDEX($D84:$I84,$D$3)+$E$3*(INDEX($D84:$I84,$D$3+1)-INDEX($D84:$I84,$D$3))))</f>
        <v/>
      </c>
      <c r="P84" s="39" t="inlineStr"/>
    </row>
    <row r="85">
      <c r="A85" s="30" t="n">
        <v>81</v>
      </c>
      <c r="B85" s="31" t="inlineStr">
        <is>
          <t>طبيب</t>
        </is>
      </c>
      <c r="C85" s="5" t="inlineStr">
        <is>
          <t>أخصائي أشعة</t>
        </is>
      </c>
      <c r="D85" s="32" t="n">
        <v>2</v>
      </c>
      <c r="E85" s="32" t="n">
        <v>4</v>
      </c>
      <c r="F85" s="32" t="n">
        <v>4</v>
      </c>
      <c r="G85" s="32" t="n">
        <v>6</v>
      </c>
      <c r="H85" s="32" t="n">
        <v>24</v>
      </c>
      <c r="I85" s="32" t="n">
        <v>24</v>
      </c>
      <c r="J85" s="33">
        <f>IF(RMODE="تقريب لأعلى",ROUNDUP(O85,0),ROUND(O85,0))</f>
        <v/>
      </c>
      <c r="K85" s="34" t="n"/>
      <c r="L85" s="35">
        <f>K85-J85</f>
        <v/>
      </c>
      <c r="M85" s="36">
        <f>IF(J85=0,"",K85/J85)</f>
        <v/>
      </c>
      <c r="N85" s="37">
        <f>IF(J85=0,"لا ينطبق",IF(K85&gt;=J85,"مكتمل",IF(K85=0,"لا يوجد","عجز")))</f>
        <v/>
      </c>
      <c r="O85" s="38">
        <f>IF(CAP&lt;=$D$4,D85*CAP/$D$4,IF(CAP&gt;=$I$4,I85*CAP/$I$4,INDEX($D85:$I85,$D$3)+$E$3*(INDEX($D85:$I85,$D$3+1)-INDEX($D85:$I85,$D$3))))</f>
        <v/>
      </c>
      <c r="P85" s="39" t="inlineStr"/>
    </row>
    <row r="86">
      <c r="A86" s="30" t="n">
        <v>82</v>
      </c>
      <c r="B86" s="31" t="inlineStr">
        <is>
          <t>طبيب</t>
        </is>
      </c>
      <c r="C86" s="5" t="inlineStr">
        <is>
          <t>مقيم أشعة</t>
        </is>
      </c>
      <c r="D86" s="32" t="n">
        <v>2</v>
      </c>
      <c r="E86" s="32" t="n">
        <v>4</v>
      </c>
      <c r="F86" s="32" t="n">
        <v>4</v>
      </c>
      <c r="G86" s="32" t="n">
        <v>6</v>
      </c>
      <c r="H86" s="32" t="n">
        <v>16</v>
      </c>
      <c r="I86" s="32" t="n">
        <v>16</v>
      </c>
      <c r="J86" s="33">
        <f>IF(RMODE="تقريب لأعلى",ROUNDUP(O86,0),ROUND(O86,0))</f>
        <v/>
      </c>
      <c r="K86" s="34" t="n"/>
      <c r="L86" s="35">
        <f>K86-J86</f>
        <v/>
      </c>
      <c r="M86" s="36">
        <f>IF(J86=0,"",K86/J86)</f>
        <v/>
      </c>
      <c r="N86" s="37">
        <f>IF(J86=0,"لا ينطبق",IF(K86&gt;=J86,"مكتمل",IF(K86=0,"لا يوجد","عجز")))</f>
        <v/>
      </c>
      <c r="O86" s="38">
        <f>IF(CAP&lt;=$D$4,D86*CAP/$D$4,IF(CAP&gt;=$I$4,I86*CAP/$I$4,INDEX($D86:$I86,$D$3)+$E$3*(INDEX($D86:$I86,$D$3+1)-INDEX($D86:$I86,$D$3))))</f>
        <v/>
      </c>
      <c r="P86" s="39" t="inlineStr"/>
    </row>
    <row r="87">
      <c r="A87" s="30" t="n">
        <v>83</v>
      </c>
      <c r="B87" s="31" t="inlineStr">
        <is>
          <t>طبيب</t>
        </is>
      </c>
      <c r="C87" s="5" t="inlineStr">
        <is>
          <t>استشاري مكافحة عدوى</t>
        </is>
      </c>
      <c r="D87" s="32" t="n">
        <v>0</v>
      </c>
      <c r="E87" s="32" t="n">
        <v>0</v>
      </c>
      <c r="F87" s="32" t="n">
        <v>1</v>
      </c>
      <c r="G87" s="32" t="n">
        <v>1</v>
      </c>
      <c r="H87" s="32" t="n">
        <v>1</v>
      </c>
      <c r="I87" s="32" t="n">
        <v>2</v>
      </c>
      <c r="J87" s="33">
        <f>IF(RMODE="تقريب لأعلى",ROUNDUP(O87,0),ROUND(O87,0))</f>
        <v/>
      </c>
      <c r="K87" s="34" t="n"/>
      <c r="L87" s="35">
        <f>K87-J87</f>
        <v/>
      </c>
      <c r="M87" s="36">
        <f>IF(J87=0,"",K87/J87)</f>
        <v/>
      </c>
      <c r="N87" s="37">
        <f>IF(J87=0,"لا ينطبق",IF(K87&gt;=J87,"مكتمل",IF(K87=0,"لا يوجد","عجز")))</f>
        <v/>
      </c>
      <c r="O87" s="38">
        <f>IF(CAP&lt;=$D$4,D87*CAP/$D$4,IF(CAP&gt;=$I$4,I87*CAP/$I$4,INDEX($D87:$I87,$D$3)+$E$3*(INDEX($D87:$I87,$D$3+1)-INDEX($D87:$I87,$D$3))))</f>
        <v/>
      </c>
      <c r="P87" s="39" t="inlineStr">
        <is>
          <t>إيضاح 7</t>
        </is>
      </c>
    </row>
    <row r="88">
      <c r="A88" s="30" t="n">
        <v>84</v>
      </c>
      <c r="B88" s="31" t="inlineStr">
        <is>
          <t>طبيب</t>
        </is>
      </c>
      <c r="C88" s="5" t="inlineStr">
        <is>
          <t>أخصائي مكافحة عدوى</t>
        </is>
      </c>
      <c r="D88" s="32" t="n">
        <v>1</v>
      </c>
      <c r="E88" s="32" t="n">
        <v>1</v>
      </c>
      <c r="F88" s="32" t="n">
        <v>1</v>
      </c>
      <c r="G88" s="32" t="n">
        <v>1</v>
      </c>
      <c r="H88" s="32" t="n">
        <v>1</v>
      </c>
      <c r="I88" s="32" t="n">
        <v>1</v>
      </c>
      <c r="J88" s="33">
        <f>IF(RMODE="تقريب لأعلى",ROUNDUP(O88,0),ROUND(O88,0))</f>
        <v/>
      </c>
      <c r="K88" s="34" t="n"/>
      <c r="L88" s="35">
        <f>K88-J88</f>
        <v/>
      </c>
      <c r="M88" s="36">
        <f>IF(J88=0,"",K88/J88)</f>
        <v/>
      </c>
      <c r="N88" s="37">
        <f>IF(J88=0,"لا ينطبق",IF(K88&gt;=J88,"مكتمل",IF(K88=0,"لا يوجد","عجز")))</f>
        <v/>
      </c>
      <c r="O88" s="38">
        <f>IF(CAP&lt;=$D$4,D88*CAP/$D$4,IF(CAP&gt;=$I$4,I88*CAP/$I$4,INDEX($D88:$I88,$D$3)+$E$3*(INDEX($D88:$I88,$D$3+1)-INDEX($D88:$I88,$D$3))))</f>
        <v/>
      </c>
      <c r="P88" s="39" t="inlineStr">
        <is>
          <t>إيضاح 7</t>
        </is>
      </c>
    </row>
    <row r="89">
      <c r="A89" s="30" t="n">
        <v>85</v>
      </c>
      <c r="B89" s="31" t="inlineStr">
        <is>
          <t>طبيب</t>
        </is>
      </c>
      <c r="C89" s="5" t="inlineStr">
        <is>
          <t>استشاري جودة</t>
        </is>
      </c>
      <c r="D89" s="32" t="n">
        <v>0</v>
      </c>
      <c r="E89" s="32" t="n">
        <v>0</v>
      </c>
      <c r="F89" s="32" t="n">
        <v>1</v>
      </c>
      <c r="G89" s="32" t="n">
        <v>1</v>
      </c>
      <c r="H89" s="32" t="n">
        <v>1</v>
      </c>
      <c r="I89" s="32" t="n">
        <v>2</v>
      </c>
      <c r="J89" s="33">
        <f>IF(RMODE="تقريب لأعلى",ROUNDUP(O89,0),ROUND(O89,0))</f>
        <v/>
      </c>
      <c r="K89" s="34" t="n"/>
      <c r="L89" s="35">
        <f>K89-J89</f>
        <v/>
      </c>
      <c r="M89" s="36">
        <f>IF(J89=0,"",K89/J89)</f>
        <v/>
      </c>
      <c r="N89" s="37">
        <f>IF(J89=0,"لا ينطبق",IF(K89&gt;=J89,"مكتمل",IF(K89=0,"لا يوجد","عجز")))</f>
        <v/>
      </c>
      <c r="O89" s="38">
        <f>IF(CAP&lt;=$D$4,D89*CAP/$D$4,IF(CAP&gt;=$I$4,I89*CAP/$I$4,INDEX($D89:$I89,$D$3)+$E$3*(INDEX($D89:$I89,$D$3+1)-INDEX($D89:$I89,$D$3))))</f>
        <v/>
      </c>
      <c r="P89" s="39" t="inlineStr">
        <is>
          <t>إيضاح 7</t>
        </is>
      </c>
    </row>
    <row r="90">
      <c r="A90" s="30" t="n">
        <v>86</v>
      </c>
      <c r="B90" s="31" t="inlineStr">
        <is>
          <t>طبيب</t>
        </is>
      </c>
      <c r="C90" s="5" t="inlineStr">
        <is>
          <t>أخصائي جودة</t>
        </is>
      </c>
      <c r="D90" s="32" t="n">
        <v>1</v>
      </c>
      <c r="E90" s="32" t="n">
        <v>1</v>
      </c>
      <c r="F90" s="32" t="n">
        <v>1</v>
      </c>
      <c r="G90" s="32" t="n">
        <v>1</v>
      </c>
      <c r="H90" s="32" t="n">
        <v>1</v>
      </c>
      <c r="I90" s="32" t="n">
        <v>1</v>
      </c>
      <c r="J90" s="33">
        <f>IF(RMODE="تقريب لأعلى",ROUNDUP(O90,0),ROUND(O90,0))</f>
        <v/>
      </c>
      <c r="K90" s="34" t="n"/>
      <c r="L90" s="35">
        <f>K90-J90</f>
        <v/>
      </c>
      <c r="M90" s="36">
        <f>IF(J90=0,"",K90/J90)</f>
        <v/>
      </c>
      <c r="N90" s="37">
        <f>IF(J90=0,"لا ينطبق",IF(K90&gt;=J90,"مكتمل",IF(K90=0,"لا يوجد","عجز")))</f>
        <v/>
      </c>
      <c r="O90" s="38">
        <f>IF(CAP&lt;=$D$4,D90*CAP/$D$4,IF(CAP&gt;=$I$4,I90*CAP/$I$4,INDEX($D90:$I90,$D$3)+$E$3*(INDEX($D90:$I90,$D$3+1)-INDEX($D90:$I90,$D$3))))</f>
        <v/>
      </c>
      <c r="P90" s="39" t="inlineStr">
        <is>
          <t>إيضاح 7</t>
        </is>
      </c>
    </row>
    <row r="91">
      <c r="A91" s="30" t="n">
        <v>87</v>
      </c>
      <c r="B91" s="31" t="inlineStr">
        <is>
          <t>طبيب</t>
        </is>
      </c>
      <c r="C91" s="5" t="inlineStr">
        <is>
          <t>استشاري باثولوجيا إكلينيكية</t>
        </is>
      </c>
      <c r="D91" s="32" t="n">
        <v>1</v>
      </c>
      <c r="E91" s="32" t="n">
        <v>1</v>
      </c>
      <c r="F91" s="32" t="n">
        <v>1</v>
      </c>
      <c r="G91" s="32" t="n">
        <v>1</v>
      </c>
      <c r="H91" s="32" t="n">
        <v>1</v>
      </c>
      <c r="I91" s="32" t="n">
        <v>1</v>
      </c>
      <c r="J91" s="33">
        <f>IF(RMODE="تقريب لأعلى",ROUNDUP(O91,0),ROUND(O91,0))</f>
        <v/>
      </c>
      <c r="K91" s="34" t="n"/>
      <c r="L91" s="35">
        <f>K91-J91</f>
        <v/>
      </c>
      <c r="M91" s="36">
        <f>IF(J91=0,"",K91/J91)</f>
        <v/>
      </c>
      <c r="N91" s="37">
        <f>IF(J91=0,"لا ينطبق",IF(K91&gt;=J91,"مكتمل",IF(K91=0,"لا يوجد","عجز")))</f>
        <v/>
      </c>
      <c r="O91" s="38">
        <f>IF(CAP&lt;=$D$4,D91*CAP/$D$4,IF(CAP&gt;=$I$4,I91*CAP/$I$4,INDEX($D91:$I91,$D$3)+$E$3*(INDEX($D91:$I91,$D$3+1)-INDEX($D91:$I91,$D$3))))</f>
        <v/>
      </c>
      <c r="P91" s="39" t="inlineStr">
        <is>
          <t>قسم المختبر وبنك الدم</t>
        </is>
      </c>
    </row>
    <row r="92">
      <c r="A92" s="30" t="n">
        <v>88</v>
      </c>
      <c r="B92" s="31" t="inlineStr">
        <is>
          <t>طبيب</t>
        </is>
      </c>
      <c r="C92" s="5" t="inlineStr">
        <is>
          <t>أخصائي باثولوجيا إكلينيكية</t>
        </is>
      </c>
      <c r="D92" s="32" t="n">
        <v>1</v>
      </c>
      <c r="E92" s="32" t="n">
        <v>1</v>
      </c>
      <c r="F92" s="32" t="n">
        <v>1</v>
      </c>
      <c r="G92" s="32" t="n">
        <v>2</v>
      </c>
      <c r="H92" s="32" t="n">
        <v>2</v>
      </c>
      <c r="I92" s="32" t="n">
        <v>3</v>
      </c>
      <c r="J92" s="33">
        <f>IF(RMODE="تقريب لأعلى",ROUNDUP(O92,0),ROUND(O92,0))</f>
        <v/>
      </c>
      <c r="K92" s="34" t="n"/>
      <c r="L92" s="35">
        <f>K92-J92</f>
        <v/>
      </c>
      <c r="M92" s="36">
        <f>IF(J92=0,"",K92/J92)</f>
        <v/>
      </c>
      <c r="N92" s="37">
        <f>IF(J92=0,"لا ينطبق",IF(K92&gt;=J92,"مكتمل",IF(K92=0,"لا يوجد","عجز")))</f>
        <v/>
      </c>
      <c r="O92" s="38">
        <f>IF(CAP&lt;=$D$4,D92*CAP/$D$4,IF(CAP&gt;=$I$4,I92*CAP/$I$4,INDEX($D92:$I92,$D$3)+$E$3*(INDEX($D92:$I92,$D$3+1)-INDEX($D92:$I92,$D$3))))</f>
        <v/>
      </c>
      <c r="P92" s="39" t="inlineStr">
        <is>
          <t>قسم المختبر وبنك الدم</t>
        </is>
      </c>
    </row>
    <row r="93">
      <c r="A93" s="30" t="n">
        <v>89</v>
      </c>
      <c r="B93" s="31" t="inlineStr">
        <is>
          <t>طبيب</t>
        </is>
      </c>
      <c r="C93" s="5" t="inlineStr">
        <is>
          <t>استشاري كيمياء حيوية</t>
        </is>
      </c>
      <c r="D93" s="32" t="n">
        <v>0</v>
      </c>
      <c r="E93" s="32" t="n">
        <v>1</v>
      </c>
      <c r="F93" s="32" t="n">
        <v>1</v>
      </c>
      <c r="G93" s="32" t="n">
        <v>1</v>
      </c>
      <c r="H93" s="32" t="n">
        <v>1</v>
      </c>
      <c r="I93" s="32" t="n">
        <v>1</v>
      </c>
      <c r="J93" s="33">
        <f>IF(RMODE="تقريب لأعلى",ROUNDUP(O93,0),ROUND(O93,0))</f>
        <v/>
      </c>
      <c r="K93" s="34" t="n"/>
      <c r="L93" s="35">
        <f>K93-J93</f>
        <v/>
      </c>
      <c r="M93" s="36">
        <f>IF(J93=0,"",K93/J93)</f>
        <v/>
      </c>
      <c r="N93" s="37">
        <f>IF(J93=0,"لا ينطبق",IF(K93&gt;=J93,"مكتمل",IF(K93=0,"لا يوجد","عجز")))</f>
        <v/>
      </c>
      <c r="O93" s="38">
        <f>IF(CAP&lt;=$D$4,D93*CAP/$D$4,IF(CAP&gt;=$I$4,I93*CAP/$I$4,INDEX($D93:$I93,$D$3)+$E$3*(INDEX($D93:$I93,$D$3+1)-INDEX($D93:$I93,$D$3))))</f>
        <v/>
      </c>
      <c r="P93" s="39" t="inlineStr">
        <is>
          <t>قسم المختبر وبنك الدم</t>
        </is>
      </c>
    </row>
    <row r="94">
      <c r="A94" s="30" t="n">
        <v>90</v>
      </c>
      <c r="B94" s="31" t="inlineStr">
        <is>
          <t>طبيب</t>
        </is>
      </c>
      <c r="C94" s="5" t="inlineStr">
        <is>
          <t>أخصائي كيمياء حيوية</t>
        </is>
      </c>
      <c r="D94" s="32" t="n">
        <v>1</v>
      </c>
      <c r="E94" s="32" t="n">
        <v>1</v>
      </c>
      <c r="F94" s="32" t="n">
        <v>1</v>
      </c>
      <c r="G94" s="32" t="n">
        <v>1</v>
      </c>
      <c r="H94" s="32" t="n">
        <v>1</v>
      </c>
      <c r="I94" s="32" t="n">
        <v>1</v>
      </c>
      <c r="J94" s="33">
        <f>IF(RMODE="تقريب لأعلى",ROUNDUP(O94,0),ROUND(O94,0))</f>
        <v/>
      </c>
      <c r="K94" s="34" t="n"/>
      <c r="L94" s="35">
        <f>K94-J94</f>
        <v/>
      </c>
      <c r="M94" s="36">
        <f>IF(J94=0,"",K94/J94)</f>
        <v/>
      </c>
      <c r="N94" s="37">
        <f>IF(J94=0,"لا ينطبق",IF(K94&gt;=J94,"مكتمل",IF(K94=0,"لا يوجد","عجز")))</f>
        <v/>
      </c>
      <c r="O94" s="38">
        <f>IF(CAP&lt;=$D$4,D94*CAP/$D$4,IF(CAP&gt;=$I$4,I94*CAP/$I$4,INDEX($D94:$I94,$D$3)+$E$3*(INDEX($D94:$I94,$D$3+1)-INDEX($D94:$I94,$D$3))))</f>
        <v/>
      </c>
      <c r="P94" s="39" t="inlineStr">
        <is>
          <t>قسم المختبر وبنك الدم</t>
        </is>
      </c>
    </row>
    <row r="95">
      <c r="A95" s="30" t="n">
        <v>91</v>
      </c>
      <c r="B95" s="31" t="inlineStr">
        <is>
          <t>طبيب</t>
        </is>
      </c>
      <c r="C95" s="5" t="inlineStr">
        <is>
          <t>استشاري أمراض دم</t>
        </is>
      </c>
      <c r="D95" s="32" t="n">
        <v>0</v>
      </c>
      <c r="E95" s="32" t="n">
        <v>0</v>
      </c>
      <c r="F95" s="32" t="n">
        <v>1</v>
      </c>
      <c r="G95" s="32" t="n">
        <v>1</v>
      </c>
      <c r="H95" s="32" t="n">
        <v>1</v>
      </c>
      <c r="I95" s="32" t="n">
        <v>1</v>
      </c>
      <c r="J95" s="33">
        <f>IF(RMODE="تقريب لأعلى",ROUNDUP(O95,0),ROUND(O95,0))</f>
        <v/>
      </c>
      <c r="K95" s="34" t="n"/>
      <c r="L95" s="35">
        <f>K95-J95</f>
        <v/>
      </c>
      <c r="M95" s="36">
        <f>IF(J95=0,"",K95/J95)</f>
        <v/>
      </c>
      <c r="N95" s="37">
        <f>IF(J95=0,"لا ينطبق",IF(K95&gt;=J95,"مكتمل",IF(K95=0,"لا يوجد","عجز")))</f>
        <v/>
      </c>
      <c r="O95" s="38">
        <f>IF(CAP&lt;=$D$4,D95*CAP/$D$4,IF(CAP&gt;=$I$4,I95*CAP/$I$4,INDEX($D95:$I95,$D$3)+$E$3*(INDEX($D95:$I95,$D$3+1)-INDEX($D95:$I95,$D$3))))</f>
        <v/>
      </c>
      <c r="P95" s="39" t="inlineStr">
        <is>
          <t>قسم المختبر وبنك الدم</t>
        </is>
      </c>
    </row>
    <row r="96">
      <c r="A96" s="30" t="n">
        <v>92</v>
      </c>
      <c r="B96" s="31" t="inlineStr">
        <is>
          <t>طبيب</t>
        </is>
      </c>
      <c r="C96" s="5" t="inlineStr">
        <is>
          <t>أخصائي أمراض دم</t>
        </is>
      </c>
      <c r="D96" s="32" t="n">
        <v>1</v>
      </c>
      <c r="E96" s="32" t="n">
        <v>1</v>
      </c>
      <c r="F96" s="32" t="n">
        <v>1</v>
      </c>
      <c r="G96" s="32" t="n">
        <v>1</v>
      </c>
      <c r="H96" s="32" t="n">
        <v>1</v>
      </c>
      <c r="I96" s="32" t="n">
        <v>1</v>
      </c>
      <c r="J96" s="33">
        <f>IF(RMODE="تقريب لأعلى",ROUNDUP(O96,0),ROUND(O96,0))</f>
        <v/>
      </c>
      <c r="K96" s="34" t="n"/>
      <c r="L96" s="35">
        <f>K96-J96</f>
        <v/>
      </c>
      <c r="M96" s="36">
        <f>IF(J96=0,"",K96/J96)</f>
        <v/>
      </c>
      <c r="N96" s="37">
        <f>IF(J96=0,"لا ينطبق",IF(K96&gt;=J96,"مكتمل",IF(K96=0,"لا يوجد","عجز")))</f>
        <v/>
      </c>
      <c r="O96" s="38">
        <f>IF(CAP&lt;=$D$4,D96*CAP/$D$4,IF(CAP&gt;=$I$4,I96*CAP/$I$4,INDEX($D96:$I96,$D$3)+$E$3*(INDEX($D96:$I96,$D$3+1)-INDEX($D96:$I96,$D$3))))</f>
        <v/>
      </c>
      <c r="P96" s="39" t="inlineStr">
        <is>
          <t>قسم المختبر وبنك الدم</t>
        </is>
      </c>
    </row>
    <row r="97">
      <c r="A97" s="30" t="n">
        <v>93</v>
      </c>
      <c r="B97" s="31" t="inlineStr">
        <is>
          <t>طبيب</t>
        </is>
      </c>
      <c r="C97" s="5" t="inlineStr">
        <is>
          <t>استشاري بنك دم</t>
        </is>
      </c>
      <c r="D97" s="32" t="n">
        <v>0</v>
      </c>
      <c r="E97" s="32" t="n">
        <v>0</v>
      </c>
      <c r="F97" s="32" t="n">
        <v>0</v>
      </c>
      <c r="G97" s="32" t="n">
        <v>1</v>
      </c>
      <c r="H97" s="32" t="n">
        <v>1</v>
      </c>
      <c r="I97" s="32" t="n">
        <v>2</v>
      </c>
      <c r="J97" s="33">
        <f>IF(RMODE="تقريب لأعلى",ROUNDUP(O97,0),ROUND(O97,0))</f>
        <v/>
      </c>
      <c r="K97" s="34" t="n"/>
      <c r="L97" s="35">
        <f>K97-J97</f>
        <v/>
      </c>
      <c r="M97" s="36">
        <f>IF(J97=0,"",K97/J97)</f>
        <v/>
      </c>
      <c r="N97" s="37">
        <f>IF(J97=0,"لا ينطبق",IF(K97&gt;=J97,"مكتمل",IF(K97=0,"لا يوجد","عجز")))</f>
        <v/>
      </c>
      <c r="O97" s="38">
        <f>IF(CAP&lt;=$D$4,D97*CAP/$D$4,IF(CAP&gt;=$I$4,I97*CAP/$I$4,INDEX($D97:$I97,$D$3)+$E$3*(INDEX($D97:$I97,$D$3+1)-INDEX($D97:$I97,$D$3))))</f>
        <v/>
      </c>
      <c r="P97" s="39" t="inlineStr">
        <is>
          <t>قسم المختبر وبنك الدم</t>
        </is>
      </c>
    </row>
    <row r="98">
      <c r="A98" s="30" t="n">
        <v>94</v>
      </c>
      <c r="B98" s="31" t="inlineStr">
        <is>
          <t>طبيب</t>
        </is>
      </c>
      <c r="C98" s="5" t="inlineStr">
        <is>
          <t>أخصائي بنك دم</t>
        </is>
      </c>
      <c r="D98" s="32" t="n">
        <v>1</v>
      </c>
      <c r="E98" s="32" t="n">
        <v>1</v>
      </c>
      <c r="F98" s="32" t="n">
        <v>1</v>
      </c>
      <c r="G98" s="32" t="n">
        <v>1</v>
      </c>
      <c r="H98" s="32" t="n">
        <v>1</v>
      </c>
      <c r="I98" s="32" t="n">
        <v>1</v>
      </c>
      <c r="J98" s="33">
        <f>IF(RMODE="تقريب لأعلى",ROUNDUP(O98,0),ROUND(O98,0))</f>
        <v/>
      </c>
      <c r="K98" s="34" t="n"/>
      <c r="L98" s="35">
        <f>K98-J98</f>
        <v/>
      </c>
      <c r="M98" s="36">
        <f>IF(J98=0,"",K98/J98)</f>
        <v/>
      </c>
      <c r="N98" s="37">
        <f>IF(J98=0,"لا ينطبق",IF(K98&gt;=J98,"مكتمل",IF(K98=0,"لا يوجد","عجز")))</f>
        <v/>
      </c>
      <c r="O98" s="38">
        <f>IF(CAP&lt;=$D$4,D98*CAP/$D$4,IF(CAP&gt;=$I$4,I98*CAP/$I$4,INDEX($D98:$I98,$D$3)+$E$3*(INDEX($D98:$I98,$D$3+1)-INDEX($D98:$I98,$D$3))))</f>
        <v/>
      </c>
      <c r="P98" s="39" t="inlineStr">
        <is>
          <t>قسم المختبر وبنك الدم</t>
        </is>
      </c>
    </row>
    <row r="99">
      <c r="A99" s="30" t="n">
        <v>95</v>
      </c>
      <c r="B99" s="31" t="inlineStr">
        <is>
          <t>طبيب</t>
        </is>
      </c>
      <c r="C99" s="5" t="inlineStr">
        <is>
          <t>استشاري أحياء دقيقة</t>
        </is>
      </c>
      <c r="D99" s="32" t="n">
        <v>0</v>
      </c>
      <c r="E99" s="32" t="n">
        <v>0</v>
      </c>
      <c r="F99" s="32" t="n">
        <v>0</v>
      </c>
      <c r="G99" s="32" t="n">
        <v>1</v>
      </c>
      <c r="H99" s="32" t="n">
        <v>1</v>
      </c>
      <c r="I99" s="32" t="n">
        <v>1</v>
      </c>
      <c r="J99" s="33">
        <f>IF(RMODE="تقريب لأعلى",ROUNDUP(O99,0),ROUND(O99,0))</f>
        <v/>
      </c>
      <c r="K99" s="34" t="n"/>
      <c r="L99" s="35">
        <f>K99-J99</f>
        <v/>
      </c>
      <c r="M99" s="36">
        <f>IF(J99=0,"",K99/J99)</f>
        <v/>
      </c>
      <c r="N99" s="37">
        <f>IF(J99=0,"لا ينطبق",IF(K99&gt;=J99,"مكتمل",IF(K99=0,"لا يوجد","عجز")))</f>
        <v/>
      </c>
      <c r="O99" s="38">
        <f>IF(CAP&lt;=$D$4,D99*CAP/$D$4,IF(CAP&gt;=$I$4,I99*CAP/$I$4,INDEX($D99:$I99,$D$3)+$E$3*(INDEX($D99:$I99,$D$3+1)-INDEX($D99:$I99,$D$3))))</f>
        <v/>
      </c>
      <c r="P99" s="39" t="inlineStr">
        <is>
          <t>قسم المختبر وبنك الدم</t>
        </is>
      </c>
    </row>
    <row r="100">
      <c r="A100" s="30" t="n">
        <v>96</v>
      </c>
      <c r="B100" s="31" t="inlineStr">
        <is>
          <t>طبيب</t>
        </is>
      </c>
      <c r="C100" s="5" t="inlineStr">
        <is>
          <t>أخصائي أحياء دقيقة</t>
        </is>
      </c>
      <c r="D100" s="32" t="n">
        <v>0</v>
      </c>
      <c r="E100" s="32" t="n">
        <v>0</v>
      </c>
      <c r="F100" s="32" t="n">
        <v>0</v>
      </c>
      <c r="G100" s="32" t="n">
        <v>1</v>
      </c>
      <c r="H100" s="32" t="n">
        <v>1</v>
      </c>
      <c r="I100" s="32" t="n">
        <v>1</v>
      </c>
      <c r="J100" s="33">
        <f>IF(RMODE="تقريب لأعلى",ROUNDUP(O100,0),ROUND(O100,0))</f>
        <v/>
      </c>
      <c r="K100" s="34" t="n"/>
      <c r="L100" s="35">
        <f>K100-J100</f>
        <v/>
      </c>
      <c r="M100" s="36">
        <f>IF(J100=0,"",K100/J100)</f>
        <v/>
      </c>
      <c r="N100" s="37">
        <f>IF(J100=0,"لا ينطبق",IF(K100&gt;=J100,"مكتمل",IF(K100=0,"لا يوجد","عجز")))</f>
        <v/>
      </c>
      <c r="O100" s="38">
        <f>IF(CAP&lt;=$D$4,D100*CAP/$D$4,IF(CAP&gt;=$I$4,I100*CAP/$I$4,INDEX($D100:$I100,$D$3)+$E$3*(INDEX($D100:$I100,$D$3+1)-INDEX($D100:$I100,$D$3))))</f>
        <v/>
      </c>
      <c r="P100" s="39" t="inlineStr">
        <is>
          <t>قسم المختبر وبنك الدم</t>
        </is>
      </c>
    </row>
    <row r="101">
      <c r="A101" s="30" t="n">
        <v>97</v>
      </c>
      <c r="B101" s="31" t="inlineStr">
        <is>
          <t>طبيب</t>
        </is>
      </c>
      <c r="C101" s="5" t="inlineStr">
        <is>
          <t>استشاري فيروسات</t>
        </is>
      </c>
      <c r="D101" s="32" t="n">
        <v>0</v>
      </c>
      <c r="E101" s="32" t="n">
        <v>0</v>
      </c>
      <c r="F101" s="32" t="n">
        <v>0</v>
      </c>
      <c r="G101" s="32" t="n">
        <v>0</v>
      </c>
      <c r="H101" s="32" t="n">
        <v>1</v>
      </c>
      <c r="I101" s="32" t="n">
        <v>1</v>
      </c>
      <c r="J101" s="33">
        <f>IF(RMODE="تقريب لأعلى",ROUNDUP(O101,0),ROUND(O101,0))</f>
        <v/>
      </c>
      <c r="K101" s="34" t="n"/>
      <c r="L101" s="35">
        <f>K101-J101</f>
        <v/>
      </c>
      <c r="M101" s="36">
        <f>IF(J101=0,"",K101/J101)</f>
        <v/>
      </c>
      <c r="N101" s="37">
        <f>IF(J101=0,"لا ينطبق",IF(K101&gt;=J101,"مكتمل",IF(K101=0,"لا يوجد","عجز")))</f>
        <v/>
      </c>
      <c r="O101" s="38">
        <f>IF(CAP&lt;=$D$4,D101*CAP/$D$4,IF(CAP&gt;=$I$4,I101*CAP/$I$4,INDEX($D101:$I101,$D$3)+$E$3*(INDEX($D101:$I101,$D$3+1)-INDEX($D101:$I101,$D$3))))</f>
        <v/>
      </c>
      <c r="P101" s="39" t="inlineStr">
        <is>
          <t>قسم المختبر وبنك الدم</t>
        </is>
      </c>
    </row>
    <row r="102">
      <c r="A102" s="30" t="n">
        <v>98</v>
      </c>
      <c r="B102" s="31" t="inlineStr">
        <is>
          <t>طبيب</t>
        </is>
      </c>
      <c r="C102" s="5" t="inlineStr">
        <is>
          <t>أخصائي فيروسات</t>
        </is>
      </c>
      <c r="D102" s="32" t="n">
        <v>0</v>
      </c>
      <c r="E102" s="32" t="n">
        <v>0</v>
      </c>
      <c r="F102" s="32" t="n">
        <v>0</v>
      </c>
      <c r="G102" s="32" t="n">
        <v>1</v>
      </c>
      <c r="H102" s="32" t="n">
        <v>1</v>
      </c>
      <c r="I102" s="32" t="n">
        <v>1</v>
      </c>
      <c r="J102" s="33">
        <f>IF(RMODE="تقريب لأعلى",ROUNDUP(O102,0),ROUND(O102,0))</f>
        <v/>
      </c>
      <c r="K102" s="34" t="n"/>
      <c r="L102" s="35">
        <f>K102-J102</f>
        <v/>
      </c>
      <c r="M102" s="36">
        <f>IF(J102=0,"",K102/J102)</f>
        <v/>
      </c>
      <c r="N102" s="37">
        <f>IF(J102=0,"لا ينطبق",IF(K102&gt;=J102,"مكتمل",IF(K102=0,"لا يوجد","عجز")))</f>
        <v/>
      </c>
      <c r="O102" s="38">
        <f>IF(CAP&lt;=$D$4,D102*CAP/$D$4,IF(CAP&gt;=$I$4,I102*CAP/$I$4,INDEX($D102:$I102,$D$3)+$E$3*(INDEX($D102:$I102,$D$3+1)-INDEX($D102:$I102,$D$3))))</f>
        <v/>
      </c>
      <c r="P102" s="39" t="inlineStr">
        <is>
          <t>قسم المختبر وبنك الدم</t>
        </is>
      </c>
    </row>
    <row r="103">
      <c r="A103" s="30" t="n">
        <v>99</v>
      </c>
      <c r="B103" s="31" t="inlineStr">
        <is>
          <t>طبيب</t>
        </is>
      </c>
      <c r="C103" s="5" t="inlineStr">
        <is>
          <t>استشاري طفيليات</t>
        </is>
      </c>
      <c r="D103" s="32" t="n">
        <v>0</v>
      </c>
      <c r="E103" s="32" t="n">
        <v>0</v>
      </c>
      <c r="F103" s="32" t="n">
        <v>0</v>
      </c>
      <c r="G103" s="32" t="n">
        <v>0</v>
      </c>
      <c r="H103" s="32" t="n">
        <v>1</v>
      </c>
      <c r="I103" s="32" t="n">
        <v>1</v>
      </c>
      <c r="J103" s="33">
        <f>IF(RMODE="تقريب لأعلى",ROUNDUP(O103,0),ROUND(O103,0))</f>
        <v/>
      </c>
      <c r="K103" s="34" t="n"/>
      <c r="L103" s="35">
        <f>K103-J103</f>
        <v/>
      </c>
      <c r="M103" s="36">
        <f>IF(J103=0,"",K103/J103)</f>
        <v/>
      </c>
      <c r="N103" s="37">
        <f>IF(J103=0,"لا ينطبق",IF(K103&gt;=J103,"مكتمل",IF(K103=0,"لا يوجد","عجز")))</f>
        <v/>
      </c>
      <c r="O103" s="38">
        <f>IF(CAP&lt;=$D$4,D103*CAP/$D$4,IF(CAP&gt;=$I$4,I103*CAP/$I$4,INDEX($D103:$I103,$D$3)+$E$3*(INDEX($D103:$I103,$D$3+1)-INDEX($D103:$I103,$D$3))))</f>
        <v/>
      </c>
      <c r="P103" s="39" t="inlineStr">
        <is>
          <t>قسم المختبر وبنك الدم</t>
        </is>
      </c>
    </row>
    <row r="104">
      <c r="A104" s="30" t="n">
        <v>100</v>
      </c>
      <c r="B104" s="31" t="inlineStr">
        <is>
          <t>طبيب</t>
        </is>
      </c>
      <c r="C104" s="5" t="inlineStr">
        <is>
          <t>أخصائي طفيليات</t>
        </is>
      </c>
      <c r="D104" s="32" t="n">
        <v>0</v>
      </c>
      <c r="E104" s="32" t="n">
        <v>0</v>
      </c>
      <c r="F104" s="32" t="n">
        <v>0</v>
      </c>
      <c r="G104" s="32" t="n">
        <v>1</v>
      </c>
      <c r="H104" s="32" t="n">
        <v>1</v>
      </c>
      <c r="I104" s="32" t="n">
        <v>1</v>
      </c>
      <c r="J104" s="33">
        <f>IF(RMODE="تقريب لأعلى",ROUNDUP(O104,0),ROUND(O104,0))</f>
        <v/>
      </c>
      <c r="K104" s="34" t="n"/>
      <c r="L104" s="35">
        <f>K104-J104</f>
        <v/>
      </c>
      <c r="M104" s="36">
        <f>IF(J104=0,"",K104/J104)</f>
        <v/>
      </c>
      <c r="N104" s="37">
        <f>IF(J104=0,"لا ينطبق",IF(K104&gt;=J104,"مكتمل",IF(K104=0,"لا يوجد","عجز")))</f>
        <v/>
      </c>
      <c r="O104" s="38">
        <f>IF(CAP&lt;=$D$4,D104*CAP/$D$4,IF(CAP&gt;=$I$4,I104*CAP/$I$4,INDEX($D104:$I104,$D$3)+$E$3*(INDEX($D104:$I104,$D$3+1)-INDEX($D104:$I104,$D$3))))</f>
        <v/>
      </c>
      <c r="P104" s="39" t="inlineStr">
        <is>
          <t>قسم المختبر وبنك الدم</t>
        </is>
      </c>
    </row>
    <row r="105">
      <c r="A105" s="30" t="n">
        <v>101</v>
      </c>
      <c r="B105" s="31" t="inlineStr">
        <is>
          <t>طبيب</t>
        </is>
      </c>
      <c r="C105" s="5" t="inlineStr">
        <is>
          <t>استشاري أنسجة</t>
        </is>
      </c>
      <c r="D105" s="32" t="n">
        <v>0</v>
      </c>
      <c r="E105" s="32" t="n">
        <v>0</v>
      </c>
      <c r="F105" s="32" t="n">
        <v>1</v>
      </c>
      <c r="G105" s="32" t="n">
        <v>1</v>
      </c>
      <c r="H105" s="32" t="n">
        <v>1</v>
      </c>
      <c r="I105" s="32" t="n">
        <v>2</v>
      </c>
      <c r="J105" s="33">
        <f>IF(RMODE="تقريب لأعلى",ROUNDUP(O105,0),ROUND(O105,0))</f>
        <v/>
      </c>
      <c r="K105" s="34" t="n"/>
      <c r="L105" s="35">
        <f>K105-J105</f>
        <v/>
      </c>
      <c r="M105" s="36">
        <f>IF(J105=0,"",K105/J105)</f>
        <v/>
      </c>
      <c r="N105" s="37">
        <f>IF(J105=0,"لا ينطبق",IF(K105&gt;=J105,"مكتمل",IF(K105=0,"لا يوجد","عجز")))</f>
        <v/>
      </c>
      <c r="O105" s="38">
        <f>IF(CAP&lt;=$D$4,D105*CAP/$D$4,IF(CAP&gt;=$I$4,I105*CAP/$I$4,INDEX($D105:$I105,$D$3)+$E$3*(INDEX($D105:$I105,$D$3+1)-INDEX($D105:$I105,$D$3))))</f>
        <v/>
      </c>
      <c r="P105" s="39" t="inlineStr">
        <is>
          <t>قسم المختبر وبنك الدم</t>
        </is>
      </c>
    </row>
    <row r="106">
      <c r="A106" s="30" t="n">
        <v>102</v>
      </c>
      <c r="B106" s="31" t="inlineStr">
        <is>
          <t>طبيب</t>
        </is>
      </c>
      <c r="C106" s="5" t="inlineStr">
        <is>
          <t>أخصائي أنسجة</t>
        </is>
      </c>
      <c r="D106" s="32" t="n">
        <v>0</v>
      </c>
      <c r="E106" s="32" t="n">
        <v>0</v>
      </c>
      <c r="F106" s="32" t="n">
        <v>0</v>
      </c>
      <c r="G106" s="32" t="n">
        <v>1</v>
      </c>
      <c r="H106" s="32" t="n">
        <v>2</v>
      </c>
      <c r="I106" s="32" t="n">
        <v>2</v>
      </c>
      <c r="J106" s="33">
        <f>IF(RMODE="تقريب لأعلى",ROUNDUP(O106,0),ROUND(O106,0))</f>
        <v/>
      </c>
      <c r="K106" s="34" t="n"/>
      <c r="L106" s="35">
        <f>K106-J106</f>
        <v/>
      </c>
      <c r="M106" s="36">
        <f>IF(J106=0,"",K106/J106)</f>
        <v/>
      </c>
      <c r="N106" s="37">
        <f>IF(J106=0,"لا ينطبق",IF(K106&gt;=J106,"مكتمل",IF(K106=0,"لا يوجد","عجز")))</f>
        <v/>
      </c>
      <c r="O106" s="38">
        <f>IF(CAP&lt;=$D$4,D106*CAP/$D$4,IF(CAP&gt;=$I$4,I106*CAP/$I$4,INDEX($D106:$I106,$D$3)+$E$3*(INDEX($D106:$I106,$D$3+1)-INDEX($D106:$I106,$D$3))))</f>
        <v/>
      </c>
      <c r="P106" s="39" t="inlineStr">
        <is>
          <t>قسم المختبر وبنك الدم</t>
        </is>
      </c>
    </row>
    <row r="107">
      <c r="A107" s="30" t="n">
        <v>103</v>
      </c>
      <c r="B107" s="31" t="inlineStr">
        <is>
          <t>طبيب</t>
        </is>
      </c>
      <c r="C107" s="5" t="inlineStr">
        <is>
          <t>استشاري أسنان أطفال</t>
        </is>
      </c>
      <c r="D107" s="32" t="n">
        <v>0</v>
      </c>
      <c r="E107" s="32" t="n">
        <v>0</v>
      </c>
      <c r="F107" s="32" t="n">
        <v>0</v>
      </c>
      <c r="G107" s="32" t="n">
        <v>2</v>
      </c>
      <c r="H107" s="32" t="n">
        <v>2</v>
      </c>
      <c r="I107" s="32" t="n">
        <v>4</v>
      </c>
      <c r="J107" s="33">
        <f>IF(RMODE="تقريب لأعلى",ROUNDUP(O107,0),ROUND(O107,0))</f>
        <v/>
      </c>
      <c r="K107" s="34" t="n"/>
      <c r="L107" s="35">
        <f>K107-J107</f>
        <v/>
      </c>
      <c r="M107" s="36">
        <f>IF(J107=0,"",K107/J107)</f>
        <v/>
      </c>
      <c r="N107" s="37">
        <f>IF(J107=0,"لا ينطبق",IF(K107&gt;=J107,"مكتمل",IF(K107=0,"لا يوجد","عجز")))</f>
        <v/>
      </c>
      <c r="O107" s="38">
        <f>IF(CAP&lt;=$D$4,D107*CAP/$D$4,IF(CAP&gt;=$I$4,I107*CAP/$I$4,INDEX($D107:$I107,$D$3)+$E$3*(INDEX($D107:$I107,$D$3+1)-INDEX($D107:$I107,$D$3))))</f>
        <v/>
      </c>
      <c r="P107" s="39" t="inlineStr">
        <is>
          <t>قسم الأسنان</t>
        </is>
      </c>
    </row>
    <row r="108">
      <c r="A108" s="30" t="n">
        <v>104</v>
      </c>
      <c r="B108" s="31" t="inlineStr">
        <is>
          <t>طبيب</t>
        </is>
      </c>
      <c r="C108" s="5" t="inlineStr">
        <is>
          <t>طبيب مقيم أسنان</t>
        </is>
      </c>
      <c r="D108" s="32" t="n">
        <v>1</v>
      </c>
      <c r="E108" s="32" t="n">
        <v>1</v>
      </c>
      <c r="F108" s="32" t="n">
        <v>1</v>
      </c>
      <c r="G108" s="32" t="n">
        <v>2</v>
      </c>
      <c r="H108" s="32" t="n">
        <v>2</v>
      </c>
      <c r="I108" s="32" t="n">
        <v>2</v>
      </c>
      <c r="J108" s="33">
        <f>IF(RMODE="تقريب لأعلى",ROUNDUP(O108,0),ROUND(O108,0))</f>
        <v/>
      </c>
      <c r="K108" s="34" t="n"/>
      <c r="L108" s="35">
        <f>K108-J108</f>
        <v/>
      </c>
      <c r="M108" s="36">
        <f>IF(J108=0,"",K108/J108)</f>
        <v/>
      </c>
      <c r="N108" s="37">
        <f>IF(J108=0,"لا ينطبق",IF(K108&gt;=J108,"مكتمل",IF(K108=0,"لا يوجد","عجز")))</f>
        <v/>
      </c>
      <c r="O108" s="38">
        <f>IF(CAP&lt;=$D$4,D108*CAP/$D$4,IF(CAP&gt;=$I$4,I108*CAP/$I$4,INDEX($D108:$I108,$D$3)+$E$3*(INDEX($D108:$I108,$D$3+1)-INDEX($D108:$I108,$D$3))))</f>
        <v/>
      </c>
      <c r="P108" s="39" t="inlineStr">
        <is>
          <t>قسم الأسنان</t>
        </is>
      </c>
    </row>
    <row r="109">
      <c r="A109" s="40" t="n"/>
      <c r="B109" s="40" t="n"/>
      <c r="C109" s="40" t="inlineStr">
        <is>
          <t>المجموع (محسوب من الجدول)</t>
        </is>
      </c>
      <c r="D109" s="41">
        <f>SUM(D5:D108)</f>
        <v/>
      </c>
      <c r="E109" s="41">
        <f>SUM(E5:E108)</f>
        <v/>
      </c>
      <c r="F109" s="41">
        <f>SUM(F5:F108)</f>
        <v/>
      </c>
      <c r="G109" s="41">
        <f>SUM(G5:G108)</f>
        <v/>
      </c>
      <c r="H109" s="41">
        <f>SUM(H5:H108)</f>
        <v/>
      </c>
      <c r="I109" s="41">
        <f>SUM(I5:I108)</f>
        <v/>
      </c>
      <c r="J109" s="41">
        <f>SUM(J5:J108)</f>
        <v/>
      </c>
      <c r="K109" s="42">
        <f>SUM(K5:K108)</f>
        <v/>
      </c>
      <c r="L109" s="41">
        <f>SUM(L5:L108)</f>
        <v/>
      </c>
      <c r="M109" s="43">
        <f>IF(J109=0,"",K109/J109)</f>
        <v/>
      </c>
      <c r="N109" s="42" t="n"/>
      <c r="O109" s="42">
        <f>SUM(O5:O108)</f>
        <v/>
      </c>
      <c r="P109" s="42" t="n"/>
    </row>
    <row r="110">
      <c r="A110" s="44" t="n"/>
      <c r="B110" s="44" t="n"/>
      <c r="C110" s="44" t="inlineStr">
        <is>
          <t>المجموع المنشور في الدليل</t>
        </is>
      </c>
      <c r="D110" s="44" t="n">
        <v>199</v>
      </c>
      <c r="E110" s="44" t="n">
        <v>253</v>
      </c>
      <c r="F110" s="44" t="n">
        <v>299</v>
      </c>
      <c r="G110" s="44" t="n">
        <v>434</v>
      </c>
      <c r="H110" s="44" t="n">
        <v>539</v>
      </c>
      <c r="I110" s="44" t="n">
        <v>653</v>
      </c>
    </row>
    <row r="111">
      <c r="A111" s="44" t="n"/>
      <c r="B111" s="44" t="n"/>
      <c r="C111" s="44" t="inlineStr">
        <is>
          <t>الفرق (محسوب − منشور)</t>
        </is>
      </c>
      <c r="D111" s="44">
        <f>D109-D110</f>
        <v/>
      </c>
      <c r="E111" s="44">
        <f>E109-E110</f>
        <v/>
      </c>
      <c r="F111" s="44">
        <f>F109-F110</f>
        <v/>
      </c>
      <c r="G111" s="44">
        <f>G109-G110</f>
        <v/>
      </c>
      <c r="H111" s="44">
        <f>H109-H110</f>
        <v/>
      </c>
      <c r="I111" s="44">
        <f>I109-I110</f>
        <v/>
      </c>
    </row>
  </sheetData>
  <mergeCells count="2">
    <mergeCell ref="A1:P1"/>
    <mergeCell ref="A2:P2"/>
  </mergeCells>
  <conditionalFormatting sqref="N5:N108">
    <cfRule type="expression" priority="1" dxfId="0">
      <formula>OR(N5="عجز",N5="لا يوجد")</formula>
    </cfRule>
    <cfRule type="expression" priority="2" dxfId="1">
      <formula>N5="مكتمل"</formula>
    </cfRule>
  </conditionalFormatting>
  <pageMargins left="0.75" right="0.75" top="1" bottom="1" header="0.5" footer="0.5"/>
</worksheet>
</file>

<file path=xl/worksheets/sheet10.xml><?xml version="1.0" encoding="utf-8"?>
<worksheet xmlns="http://schemas.openxmlformats.org/spreadsheetml/2006/main">
  <sheetPr>
    <tabColor rgb="001F6F6B"/>
    <outlinePr summaryBelow="1" summaryRight="1"/>
    <pageSetUpPr/>
  </sheetPr>
  <dimension ref="A1:P74"/>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13" customWidth="1" min="10" max="10"/>
    <col width="12" customWidth="1" min="11" max="11"/>
    <col width="13" customWidth="1" min="12" max="12"/>
    <col width="10" customWidth="1" min="13" max="13"/>
    <col width="11" customWidth="1" min="14" max="14"/>
    <col width="11" customWidth="1" min="15" max="15"/>
    <col width="42" customWidth="1" min="16" max="16"/>
  </cols>
  <sheetData>
    <row r="1" ht="30" customHeight="1">
      <c r="A1" s="1" t="inlineStr">
        <is>
          <t>ولادة - أخصائي غير طبيب</t>
        </is>
      </c>
    </row>
    <row r="2" ht="20" customHeight="1">
      <c r="A2" s="2" t="inlineStr">
        <is>
          <t>الملحق (2) — أخصائي غير طبيب، ويشمل التمريض والقبالة (صفحات 50-52)</t>
        </is>
      </c>
    </row>
    <row r="3">
      <c r="C3" s="25" t="inlineStr">
        <is>
          <t>معاملا الاستيفاء ◄</t>
        </is>
      </c>
      <c r="D3" s="26">
        <f>IFERROR(MATCH(CAP,$D$4:$I$4,1),1)</f>
        <v/>
      </c>
      <c r="E3" s="27">
        <f>IF(OR(CAP&lt;=$D$4,CAP&gt;=$I$4),0,(CAP-INDEX($D$4:$I$4,$D$3))/(INDEX($D$4:$I$4,$D$3+1)-INDEX($D$4:$I$4,$D$3)))</f>
        <v/>
      </c>
    </row>
    <row r="4" ht="42" customHeight="1">
      <c r="A4" s="28" t="inlineStr">
        <is>
          <t>م</t>
        </is>
      </c>
      <c r="B4" s="28" t="inlineStr">
        <is>
          <t>الفئة</t>
        </is>
      </c>
      <c r="C4" s="28" t="inlineStr">
        <is>
          <t>المسمى الوظيفي</t>
        </is>
      </c>
      <c r="D4" s="29" t="n">
        <v>100</v>
      </c>
      <c r="E4" s="29" t="n">
        <v>150</v>
      </c>
      <c r="F4" s="29" t="n">
        <v>200</v>
      </c>
      <c r="G4" s="29" t="n">
        <v>300</v>
      </c>
      <c r="H4" s="29" t="n">
        <v>400</v>
      </c>
      <c r="I4" s="29" t="n">
        <v>500</v>
      </c>
      <c r="J4" s="28" t="inlineStr">
        <is>
          <t>الاحتياج للسعة المدخلة</t>
        </is>
      </c>
      <c r="K4" s="28" t="inlineStr">
        <is>
          <t>الموجود فعلياً</t>
        </is>
      </c>
      <c r="L4" s="28" t="inlineStr">
        <is>
          <t>الفجوة (+فائض / -عجز)</t>
        </is>
      </c>
      <c r="M4" s="28" t="inlineStr">
        <is>
          <t>نسبة التغطية</t>
        </is>
      </c>
      <c r="N4" s="28" t="inlineStr">
        <is>
          <t>الحالة</t>
        </is>
      </c>
      <c r="O4" s="28" t="inlineStr">
        <is>
          <t>القيمة قبل التقريب</t>
        </is>
      </c>
      <c r="P4" s="28" t="inlineStr">
        <is>
          <t>ملاحظات</t>
        </is>
      </c>
    </row>
    <row r="5">
      <c r="A5" s="30" t="n">
        <v>1</v>
      </c>
      <c r="B5" s="31" t="inlineStr">
        <is>
          <t>أخصائي غير طبيب</t>
        </is>
      </c>
      <c r="C5" s="5" t="inlineStr">
        <is>
          <t>أخصائي تقنية قلب أطفال</t>
        </is>
      </c>
      <c r="D5" s="32" t="n">
        <v>0</v>
      </c>
      <c r="E5" s="32" t="n">
        <v>0</v>
      </c>
      <c r="F5" s="32" t="n">
        <v>2</v>
      </c>
      <c r="G5" s="32" t="n">
        <v>3</v>
      </c>
      <c r="H5" s="32" t="n">
        <v>4</v>
      </c>
      <c r="I5" s="32" t="n">
        <v>4</v>
      </c>
      <c r="J5" s="33">
        <f>IF(RMODE="تقريب لأعلى",ROUNDUP(O5,0),ROUND(O5,0))</f>
        <v/>
      </c>
      <c r="K5" s="34" t="n"/>
      <c r="L5" s="35">
        <f>K5-J5</f>
        <v/>
      </c>
      <c r="M5" s="36">
        <f>IF(J5=0,"",K5/J5)</f>
        <v/>
      </c>
      <c r="N5" s="37">
        <f>IF(J5=0,"لا ينطبق",IF(K5&gt;=J5,"مكتمل",IF(K5=0,"لا يوجد","عجز")))</f>
        <v/>
      </c>
      <c r="O5" s="38">
        <f>IF(CAP&lt;=$D$4,D5*CAP/$D$4,IF(CAP&gt;=$I$4,I5*CAP/$I$4,INDEX($D5:$I5,$D$3)+$E$3*(INDEX($D5:$I5,$D$3+1)-INDEX($D5:$I5,$D$3))))</f>
        <v/>
      </c>
      <c r="P5" s="39" t="inlineStr"/>
    </row>
    <row r="6">
      <c r="A6" s="30" t="n">
        <v>2</v>
      </c>
      <c r="B6" s="31" t="inlineStr">
        <is>
          <t>أخصائي غير طبيب</t>
        </is>
      </c>
      <c r="C6" s="5" t="inlineStr">
        <is>
          <t>أخصائي فسيولوجيا عصبي أطفال</t>
        </is>
      </c>
      <c r="D6" s="32" t="n">
        <v>0</v>
      </c>
      <c r="E6" s="32" t="n">
        <v>2</v>
      </c>
      <c r="F6" s="32" t="n">
        <v>2</v>
      </c>
      <c r="G6" s="32" t="n">
        <v>3</v>
      </c>
      <c r="H6" s="32" t="n">
        <v>4</v>
      </c>
      <c r="I6" s="32" t="n">
        <v>4</v>
      </c>
      <c r="J6" s="33">
        <f>IF(RMODE="تقريب لأعلى",ROUNDUP(O6,0),ROUND(O6,0))</f>
        <v/>
      </c>
      <c r="K6" s="34" t="n"/>
      <c r="L6" s="35">
        <f>K6-J6</f>
        <v/>
      </c>
      <c r="M6" s="36">
        <f>IF(J6=0,"",K6/J6)</f>
        <v/>
      </c>
      <c r="N6" s="37">
        <f>IF(J6=0,"لا ينطبق",IF(K6&gt;=J6,"مكتمل",IF(K6=0,"لا يوجد","عجز")))</f>
        <v/>
      </c>
      <c r="O6" s="38">
        <f>IF(CAP&lt;=$D$4,D6*CAP/$D$4,IF(CAP&gt;=$I$4,I6*CAP/$I$4,INDEX($D6:$I6,$D$3)+$E$3*(INDEX($D6:$I6,$D$3+1)-INDEX($D6:$I6,$D$3))))</f>
        <v/>
      </c>
      <c r="P6" s="39" t="inlineStr"/>
    </row>
    <row r="7">
      <c r="A7" s="30" t="n">
        <v>3</v>
      </c>
      <c r="B7" s="31" t="inlineStr">
        <is>
          <t>أخصائي غير طبيب</t>
        </is>
      </c>
      <c r="C7" s="5" t="inlineStr">
        <is>
          <t>أخصائي تقنية كلى أطفال</t>
        </is>
      </c>
      <c r="D7" s="32" t="n">
        <v>2</v>
      </c>
      <c r="E7" s="32" t="n">
        <v>2</v>
      </c>
      <c r="F7" s="32" t="n">
        <v>2</v>
      </c>
      <c r="G7" s="32" t="n">
        <v>3</v>
      </c>
      <c r="H7" s="32" t="n">
        <v>4</v>
      </c>
      <c r="I7" s="32" t="n">
        <v>4</v>
      </c>
      <c r="J7" s="33">
        <f>IF(RMODE="تقريب لأعلى",ROUNDUP(O7,0),ROUND(O7,0))</f>
        <v/>
      </c>
      <c r="K7" s="34" t="n"/>
      <c r="L7" s="35">
        <f>K7-J7</f>
        <v/>
      </c>
      <c r="M7" s="36">
        <f>IF(J7=0,"",K7/J7)</f>
        <v/>
      </c>
      <c r="N7" s="37">
        <f>IF(J7=0,"لا ينطبق",IF(K7&gt;=J7,"مكتمل",IF(K7=0,"لا يوجد","عجز")))</f>
        <v/>
      </c>
      <c r="O7" s="38">
        <f>IF(CAP&lt;=$D$4,D7*CAP/$D$4,IF(CAP&gt;=$I$4,I7*CAP/$I$4,INDEX($D7:$I7,$D$3)+$E$3*(INDEX($D7:$I7,$D$3+1)-INDEX($D7:$I7,$D$3))))</f>
        <v/>
      </c>
      <c r="P7" s="39" t="inlineStr"/>
    </row>
    <row r="8">
      <c r="A8" s="30" t="n">
        <v>4</v>
      </c>
      <c r="B8" s="31" t="inlineStr">
        <is>
          <t>أخصائي غير طبيب</t>
        </is>
      </c>
      <c r="C8" s="5" t="inlineStr">
        <is>
          <t>أخصائي نفسي (غير طبيب)</t>
        </is>
      </c>
      <c r="D8" s="32" t="n">
        <v>2</v>
      </c>
      <c r="E8" s="32" t="n">
        <v>3</v>
      </c>
      <c r="F8" s="32" t="n">
        <v>4</v>
      </c>
      <c r="G8" s="32" t="n">
        <v>4</v>
      </c>
      <c r="H8" s="32" t="n">
        <v>8</v>
      </c>
      <c r="I8" s="32" t="n">
        <v>10</v>
      </c>
      <c r="J8" s="33">
        <f>IF(RMODE="تقريب لأعلى",ROUNDUP(O8,0),ROUND(O8,0))</f>
        <v/>
      </c>
      <c r="K8" s="34" t="n"/>
      <c r="L8" s="35">
        <f>K8-J8</f>
        <v/>
      </c>
      <c r="M8" s="36">
        <f>IF(J8=0,"",K8/J8)</f>
        <v/>
      </c>
      <c r="N8" s="37">
        <f>IF(J8=0,"لا ينطبق",IF(K8&gt;=J8,"مكتمل",IF(K8=0,"لا يوجد","عجز")))</f>
        <v/>
      </c>
      <c r="O8" s="38">
        <f>IF(CAP&lt;=$D$4,D8*CAP/$D$4,IF(CAP&gt;=$I$4,I8*CAP/$I$4,INDEX($D8:$I8,$D$3)+$E$3*(INDEX($D8:$I8,$D$3+1)-INDEX($D8:$I8,$D$3))))</f>
        <v/>
      </c>
      <c r="P8" s="39" t="inlineStr"/>
    </row>
    <row r="9">
      <c r="A9" s="30" t="n">
        <v>5</v>
      </c>
      <c r="B9" s="31" t="inlineStr">
        <is>
          <t>أخصائي غير طبيب</t>
        </is>
      </c>
      <c r="C9" s="5" t="inlineStr">
        <is>
          <t>أخصائي تخدير (غير طبيب)</t>
        </is>
      </c>
      <c r="D9" s="32" t="n">
        <v>5</v>
      </c>
      <c r="E9" s="32" t="n">
        <v>10</v>
      </c>
      <c r="F9" s="32" t="n">
        <v>15</v>
      </c>
      <c r="G9" s="32" t="n">
        <v>20</v>
      </c>
      <c r="H9" s="32" t="n">
        <v>30</v>
      </c>
      <c r="I9" s="32" t="n">
        <v>40</v>
      </c>
      <c r="J9" s="33">
        <f>IF(RMODE="تقريب لأعلى",ROUNDUP(O9,0),ROUND(O9,0))</f>
        <v/>
      </c>
      <c r="K9" s="34" t="n"/>
      <c r="L9" s="35">
        <f>K9-J9</f>
        <v/>
      </c>
      <c r="M9" s="36">
        <f>IF(J9=0,"",K9/J9)</f>
        <v/>
      </c>
      <c r="N9" s="37">
        <f>IF(J9=0,"لا ينطبق",IF(K9&gt;=J9,"مكتمل",IF(K9=0,"لا يوجد","عجز")))</f>
        <v/>
      </c>
      <c r="O9" s="38">
        <f>IF(CAP&lt;=$D$4,D9*CAP/$D$4,IF(CAP&gt;=$I$4,I9*CAP/$I$4,INDEX($D9:$I9,$D$3)+$E$3*(INDEX($D9:$I9,$D$3+1)-INDEX($D9:$I9,$D$3))))</f>
        <v/>
      </c>
      <c r="P9" s="39" t="inlineStr"/>
    </row>
    <row r="10">
      <c r="A10" s="30" t="n">
        <v>6</v>
      </c>
      <c r="B10" s="31" t="inlineStr">
        <is>
          <t>أخصائي غير طبيب</t>
        </is>
      </c>
      <c r="C10" s="5" t="inlineStr">
        <is>
          <t>أخصائي إسعاف وطوارئ أطفال</t>
        </is>
      </c>
      <c r="D10" s="32" t="n">
        <v>6</v>
      </c>
      <c r="E10" s="32" t="n">
        <v>8</v>
      </c>
      <c r="F10" s="32" t="n">
        <v>10</v>
      </c>
      <c r="G10" s="32" t="n">
        <v>12</v>
      </c>
      <c r="H10" s="32" t="n">
        <v>15</v>
      </c>
      <c r="I10" s="32" t="n">
        <v>18</v>
      </c>
      <c r="J10" s="33">
        <f>IF(RMODE="تقريب لأعلى",ROUNDUP(O10,0),ROUND(O10,0))</f>
        <v/>
      </c>
      <c r="K10" s="34" t="n"/>
      <c r="L10" s="35">
        <f>K10-J10</f>
        <v/>
      </c>
      <c r="M10" s="36">
        <f>IF(J10=0,"",K10/J10)</f>
        <v/>
      </c>
      <c r="N10" s="37">
        <f>IF(J10=0,"لا ينطبق",IF(K10&gt;=J10,"مكتمل",IF(K10=0,"لا يوجد","عجز")))</f>
        <v/>
      </c>
      <c r="O10" s="38">
        <f>IF(CAP&lt;=$D$4,D10*CAP/$D$4,IF(CAP&gt;=$I$4,I10*CAP/$I$4,INDEX($D10:$I10,$D$3)+$E$3*(INDEX($D10:$I10,$D$3+1)-INDEX($D10:$I10,$D$3))))</f>
        <v/>
      </c>
      <c r="P10" s="39" t="inlineStr"/>
    </row>
    <row r="11">
      <c r="A11" s="30" t="n">
        <v>7</v>
      </c>
      <c r="B11" s="31" t="inlineStr">
        <is>
          <t>أخصائي غير طبيب</t>
        </is>
      </c>
      <c r="C11" s="5" t="inlineStr">
        <is>
          <t>أخصائي أشعة</t>
        </is>
      </c>
      <c r="D11" s="32" t="n">
        <v>9</v>
      </c>
      <c r="E11" s="32" t="n">
        <v>22</v>
      </c>
      <c r="F11" s="32" t="n">
        <v>42</v>
      </c>
      <c r="G11" s="32" t="n">
        <v>42</v>
      </c>
      <c r="H11" s="32" t="n">
        <v>70</v>
      </c>
      <c r="I11" s="32" t="n">
        <v>108</v>
      </c>
      <c r="J11" s="33">
        <f>IF(RMODE="تقريب لأعلى",ROUNDUP(O11,0),ROUND(O11,0))</f>
        <v/>
      </c>
      <c r="K11" s="34" t="n"/>
      <c r="L11" s="35">
        <f>K11-J11</f>
        <v/>
      </c>
      <c r="M11" s="36">
        <f>IF(J11=0,"",K11/J11)</f>
        <v/>
      </c>
      <c r="N11" s="37">
        <f>IF(J11=0,"لا ينطبق",IF(K11&gt;=J11,"مكتمل",IF(K11=0,"لا يوجد","عجز")))</f>
        <v/>
      </c>
      <c r="O11" s="38">
        <f>IF(CAP&lt;=$D$4,D11*CAP/$D$4,IF(CAP&gt;=$I$4,I11*CAP/$I$4,INDEX($D11:$I11,$D$3)+$E$3*(INDEX($D11:$I11,$D$3+1)-INDEX($D11:$I11,$D$3))))</f>
        <v/>
      </c>
      <c r="P11" s="39" t="inlineStr"/>
    </row>
    <row r="12">
      <c r="A12" s="30" t="n">
        <v>8</v>
      </c>
      <c r="B12" s="31" t="inlineStr">
        <is>
          <t>أخصائي غير طبيب</t>
        </is>
      </c>
      <c r="C12" s="5" t="inlineStr">
        <is>
          <t>أخصائي طب نووي (غير طبيب)</t>
        </is>
      </c>
      <c r="D12" s="32" t="n">
        <v>0</v>
      </c>
      <c r="E12" s="32" t="n">
        <v>0</v>
      </c>
      <c r="F12" s="32" t="n">
        <v>0</v>
      </c>
      <c r="G12" s="32" t="n">
        <v>0</v>
      </c>
      <c r="H12" s="32" t="n">
        <v>4</v>
      </c>
      <c r="I12" s="32" t="n">
        <v>7</v>
      </c>
      <c r="J12" s="33">
        <f>IF(RMODE="تقريب لأعلى",ROUNDUP(O12,0),ROUND(O12,0))</f>
        <v/>
      </c>
      <c r="K12" s="34" t="n"/>
      <c r="L12" s="35">
        <f>K12-J12</f>
        <v/>
      </c>
      <c r="M12" s="36">
        <f>IF(J12=0,"",K12/J12)</f>
        <v/>
      </c>
      <c r="N12" s="37">
        <f>IF(J12=0,"لا ينطبق",IF(K12&gt;=J12,"مكتمل",IF(K12=0,"لا يوجد","عجز")))</f>
        <v/>
      </c>
      <c r="O12" s="38">
        <f>IF(CAP&lt;=$D$4,D12*CAP/$D$4,IF(CAP&gt;=$I$4,I12*CAP/$I$4,INDEX($D12:$I12,$D$3)+$E$3*(INDEX($D12:$I12,$D$3+1)-INDEX($D12:$I12,$D$3))))</f>
        <v/>
      </c>
      <c r="P12" s="39" t="inlineStr"/>
    </row>
    <row r="13">
      <c r="A13" s="30" t="n">
        <v>9</v>
      </c>
      <c r="B13" s="31" t="inlineStr">
        <is>
          <t>أخصائي غير طبيب</t>
        </is>
      </c>
      <c r="C13" s="5" t="inlineStr">
        <is>
          <t>أخصائي فيزياء طبية</t>
        </is>
      </c>
      <c r="D13" s="32" t="n">
        <v>1</v>
      </c>
      <c r="E13" s="32" t="n">
        <v>2</v>
      </c>
      <c r="F13" s="32" t="n">
        <v>2</v>
      </c>
      <c r="G13" s="32" t="n">
        <v>3</v>
      </c>
      <c r="H13" s="32" t="n">
        <v>3</v>
      </c>
      <c r="I13" s="32" t="n">
        <v>3</v>
      </c>
      <c r="J13" s="33">
        <f>IF(RMODE="تقريب لأعلى",ROUNDUP(O13,0),ROUND(O13,0))</f>
        <v/>
      </c>
      <c r="K13" s="34" t="n"/>
      <c r="L13" s="35">
        <f>K13-J13</f>
        <v/>
      </c>
      <c r="M13" s="36">
        <f>IF(J13=0,"",K13/J13)</f>
        <v/>
      </c>
      <c r="N13" s="37">
        <f>IF(J13=0,"لا ينطبق",IF(K13&gt;=J13,"مكتمل",IF(K13=0,"لا يوجد","عجز")))</f>
        <v/>
      </c>
      <c r="O13" s="38">
        <f>IF(CAP&lt;=$D$4,D13*CAP/$D$4,IF(CAP&gt;=$I$4,I13*CAP/$I$4,INDEX($D13:$I13,$D$3)+$E$3*(INDEX($D13:$I13,$D$3+1)-INDEX($D13:$I13,$D$3))))</f>
        <v/>
      </c>
      <c r="P13" s="39" t="inlineStr"/>
    </row>
    <row r="14">
      <c r="A14" s="30" t="n">
        <v>10</v>
      </c>
      <c r="B14" s="31" t="inlineStr">
        <is>
          <t>أخصائي غير طبيب</t>
        </is>
      </c>
      <c r="C14" s="5" t="inlineStr">
        <is>
          <t>أخصائي مختبر وبنك دم</t>
        </is>
      </c>
      <c r="D14" s="32" t="n">
        <v>6</v>
      </c>
      <c r="E14" s="32" t="n">
        <v>11</v>
      </c>
      <c r="F14" s="32" t="n">
        <v>18</v>
      </c>
      <c r="G14" s="32" t="n">
        <v>20</v>
      </c>
      <c r="H14" s="32" t="n">
        <v>22</v>
      </c>
      <c r="I14" s="32" t="n">
        <v>32</v>
      </c>
      <c r="J14" s="33">
        <f>IF(RMODE="تقريب لأعلى",ROUNDUP(O14,0),ROUND(O14,0))</f>
        <v/>
      </c>
      <c r="K14" s="34" t="n"/>
      <c r="L14" s="35">
        <f>K14-J14</f>
        <v/>
      </c>
      <c r="M14" s="36">
        <f>IF(J14=0,"",K14/J14)</f>
        <v/>
      </c>
      <c r="N14" s="37">
        <f>IF(J14=0,"لا ينطبق",IF(K14&gt;=J14,"مكتمل",IF(K14=0,"لا يوجد","عجز")))</f>
        <v/>
      </c>
      <c r="O14" s="38">
        <f>IF(CAP&lt;=$D$4,D14*CAP/$D$4,IF(CAP&gt;=$I$4,I14*CAP/$I$4,INDEX($D14:$I14,$D$3)+$E$3*(INDEX($D14:$I14,$D$3+1)-INDEX($D14:$I14,$D$3))))</f>
        <v/>
      </c>
      <c r="P14" s="39" t="inlineStr"/>
    </row>
    <row r="15">
      <c r="A15" s="30" t="n">
        <v>11</v>
      </c>
      <c r="B15" s="31" t="inlineStr">
        <is>
          <t>أخصائي غير طبيب</t>
        </is>
      </c>
      <c r="C15" s="5" t="inlineStr">
        <is>
          <t>أخصائي علاج طبيعي</t>
        </is>
      </c>
      <c r="D15" s="32" t="n">
        <v>4</v>
      </c>
      <c r="E15" s="32" t="n">
        <v>6</v>
      </c>
      <c r="F15" s="32" t="n">
        <v>9</v>
      </c>
      <c r="G15" s="32" t="n">
        <v>12</v>
      </c>
      <c r="H15" s="32" t="n">
        <v>18</v>
      </c>
      <c r="I15" s="32" t="n">
        <v>24</v>
      </c>
      <c r="J15" s="33">
        <f>IF(RMODE="تقريب لأعلى",ROUNDUP(O15,0),ROUND(O15,0))</f>
        <v/>
      </c>
      <c r="K15" s="34" t="n"/>
      <c r="L15" s="35">
        <f>K15-J15</f>
        <v/>
      </c>
      <c r="M15" s="36">
        <f>IF(J15=0,"",K15/J15)</f>
        <v/>
      </c>
      <c r="N15" s="37">
        <f>IF(J15=0,"لا ينطبق",IF(K15&gt;=J15,"مكتمل",IF(K15=0,"لا يوجد","عجز")))</f>
        <v/>
      </c>
      <c r="O15" s="38">
        <f>IF(CAP&lt;=$D$4,D15*CAP/$D$4,IF(CAP&gt;=$I$4,I15*CAP/$I$4,INDEX($D15:$I15,$D$3)+$E$3*(INDEX($D15:$I15,$D$3+1)-INDEX($D15:$I15,$D$3))))</f>
        <v/>
      </c>
      <c r="P15" s="39" t="inlineStr"/>
    </row>
    <row r="16">
      <c r="A16" s="30" t="n">
        <v>12</v>
      </c>
      <c r="B16" s="31" t="inlineStr">
        <is>
          <t>أخصائي غير طبيب</t>
        </is>
      </c>
      <c r="C16" s="5" t="inlineStr">
        <is>
          <t>أخصائي علاج وظيفي</t>
        </is>
      </c>
      <c r="D16" s="32" t="n">
        <v>0</v>
      </c>
      <c r="E16" s="32" t="n">
        <v>2</v>
      </c>
      <c r="F16" s="32" t="n">
        <v>3</v>
      </c>
      <c r="G16" s="32" t="n">
        <v>4</v>
      </c>
      <c r="H16" s="32" t="n">
        <v>4</v>
      </c>
      <c r="I16" s="32" t="n">
        <v>6</v>
      </c>
      <c r="J16" s="33">
        <f>IF(RMODE="تقريب لأعلى",ROUNDUP(O16,0),ROUND(O16,0))</f>
        <v/>
      </c>
      <c r="K16" s="34" t="n"/>
      <c r="L16" s="35">
        <f>K16-J16</f>
        <v/>
      </c>
      <c r="M16" s="36">
        <f>IF(J16=0,"",K16/J16)</f>
        <v/>
      </c>
      <c r="N16" s="37">
        <f>IF(J16=0,"لا ينطبق",IF(K16&gt;=J16,"مكتمل",IF(K16=0,"لا يوجد","عجز")))</f>
        <v/>
      </c>
      <c r="O16" s="38">
        <f>IF(CAP&lt;=$D$4,D16*CAP/$D$4,IF(CAP&gt;=$I$4,I16*CAP/$I$4,INDEX($D16:$I16,$D$3)+$E$3*(INDEX($D16:$I16,$D$3+1)-INDEX($D16:$I16,$D$3))))</f>
        <v/>
      </c>
      <c r="P16" s="39" t="inlineStr"/>
    </row>
    <row r="17">
      <c r="A17" s="30" t="n">
        <v>13</v>
      </c>
      <c r="B17" s="31" t="inlineStr">
        <is>
          <t>أخصائي غير طبيب</t>
        </is>
      </c>
      <c r="C17" s="5" t="inlineStr">
        <is>
          <t>أخصائي معالجة نطق (تخاطب)</t>
        </is>
      </c>
      <c r="D17" s="32" t="n">
        <v>0</v>
      </c>
      <c r="E17" s="32" t="n">
        <v>1</v>
      </c>
      <c r="F17" s="32" t="n">
        <v>1</v>
      </c>
      <c r="G17" s="32" t="n">
        <v>2</v>
      </c>
      <c r="H17" s="32" t="n">
        <v>4</v>
      </c>
      <c r="I17" s="32" t="n">
        <v>4</v>
      </c>
      <c r="J17" s="33">
        <f>IF(RMODE="تقريب لأعلى",ROUNDUP(O17,0),ROUND(O17,0))</f>
        <v/>
      </c>
      <c r="K17" s="34" t="n"/>
      <c r="L17" s="35">
        <f>K17-J17</f>
        <v/>
      </c>
      <c r="M17" s="36">
        <f>IF(J17=0,"",K17/J17)</f>
        <v/>
      </c>
      <c r="N17" s="37">
        <f>IF(J17=0,"لا ينطبق",IF(K17&gt;=J17,"مكتمل",IF(K17=0,"لا يوجد","عجز")))</f>
        <v/>
      </c>
      <c r="O17" s="38">
        <f>IF(CAP&lt;=$D$4,D17*CAP/$D$4,IF(CAP&gt;=$I$4,I17*CAP/$I$4,INDEX($D17:$I17,$D$3)+$E$3*(INDEX($D17:$I17,$D$3+1)-INDEX($D17:$I17,$D$3))))</f>
        <v/>
      </c>
      <c r="P17" s="39" t="inlineStr"/>
    </row>
    <row r="18">
      <c r="A18" s="30" t="n">
        <v>14</v>
      </c>
      <c r="B18" s="31" t="inlineStr">
        <is>
          <t>أخصائي غير طبيب</t>
        </is>
      </c>
      <c r="C18" s="5" t="inlineStr">
        <is>
          <t>أخصائي معالجة سمع (سمعيات)</t>
        </is>
      </c>
      <c r="D18" s="32" t="n">
        <v>0</v>
      </c>
      <c r="E18" s="32" t="n">
        <v>0</v>
      </c>
      <c r="F18" s="32" t="n">
        <v>0</v>
      </c>
      <c r="G18" s="32" t="n">
        <v>2</v>
      </c>
      <c r="H18" s="32" t="n">
        <v>3</v>
      </c>
      <c r="I18" s="32" t="n">
        <v>4</v>
      </c>
      <c r="J18" s="33">
        <f>IF(RMODE="تقريب لأعلى",ROUNDUP(O18,0),ROUND(O18,0))</f>
        <v/>
      </c>
      <c r="K18" s="34" t="n"/>
      <c r="L18" s="35">
        <f>K18-J18</f>
        <v/>
      </c>
      <c r="M18" s="36">
        <f>IF(J18=0,"",K18/J18)</f>
        <v/>
      </c>
      <c r="N18" s="37">
        <f>IF(J18=0,"لا ينطبق",IF(K18&gt;=J18,"مكتمل",IF(K18=0,"لا يوجد","عجز")))</f>
        <v/>
      </c>
      <c r="O18" s="38">
        <f>IF(CAP&lt;=$D$4,D18*CAP/$D$4,IF(CAP&gt;=$I$4,I18*CAP/$I$4,INDEX($D18:$I18,$D$3)+$E$3*(INDEX($D18:$I18,$D$3+1)-INDEX($D18:$I18,$D$3))))</f>
        <v/>
      </c>
      <c r="P18" s="39" t="inlineStr"/>
    </row>
    <row r="19">
      <c r="A19" s="30" t="n">
        <v>15</v>
      </c>
      <c r="B19" s="31" t="inlineStr">
        <is>
          <t>أخصائي غير طبيب</t>
        </is>
      </c>
      <c r="C19" s="5" t="inlineStr">
        <is>
          <t>أخصائي أطراف صناعية</t>
        </is>
      </c>
      <c r="D19" s="32" t="n">
        <v>0</v>
      </c>
      <c r="E19" s="32" t="n">
        <v>0</v>
      </c>
      <c r="F19" s="32" t="n">
        <v>0</v>
      </c>
      <c r="G19" s="32" t="n">
        <v>2</v>
      </c>
      <c r="H19" s="32" t="n">
        <v>3</v>
      </c>
      <c r="I19" s="32" t="n">
        <v>4</v>
      </c>
      <c r="J19" s="33">
        <f>IF(RMODE="تقريب لأعلى",ROUNDUP(O19,0),ROUND(O19,0))</f>
        <v/>
      </c>
      <c r="K19" s="34" t="n"/>
      <c r="L19" s="35">
        <f>K19-J19</f>
        <v/>
      </c>
      <c r="M19" s="36">
        <f>IF(J19=0,"",K19/J19)</f>
        <v/>
      </c>
      <c r="N19" s="37">
        <f>IF(J19=0,"لا ينطبق",IF(K19&gt;=J19,"مكتمل",IF(K19=0,"لا يوجد","عجز")))</f>
        <v/>
      </c>
      <c r="O19" s="38">
        <f>IF(CAP&lt;=$D$4,D19*CAP/$D$4,IF(CAP&gt;=$I$4,I19*CAP/$I$4,INDEX($D19:$I19,$D$3)+$E$3*(INDEX($D19:$I19,$D$3+1)-INDEX($D19:$I19,$D$3))))</f>
        <v/>
      </c>
      <c r="P19" s="39" t="inlineStr"/>
    </row>
    <row r="20">
      <c r="A20" s="30" t="n">
        <v>16</v>
      </c>
      <c r="B20" s="31" t="inlineStr">
        <is>
          <t>أخصائي غير طبيب</t>
        </is>
      </c>
      <c r="C20" s="5" t="inlineStr">
        <is>
          <t>أخصائي ضمان الجودة وسلامة المرضى</t>
        </is>
      </c>
      <c r="D20" s="32" t="n">
        <v>2</v>
      </c>
      <c r="E20" s="32" t="n">
        <v>4</v>
      </c>
      <c r="F20" s="32" t="n">
        <v>4</v>
      </c>
      <c r="G20" s="32" t="n">
        <v>6</v>
      </c>
      <c r="H20" s="32" t="n">
        <v>6</v>
      </c>
      <c r="I20" s="32" t="n">
        <v>8</v>
      </c>
      <c r="J20" s="33">
        <f>IF(RMODE="تقريب لأعلى",ROUNDUP(O20,0),ROUND(O20,0))</f>
        <v/>
      </c>
      <c r="K20" s="34" t="n"/>
      <c r="L20" s="35">
        <f>K20-J20</f>
        <v/>
      </c>
      <c r="M20" s="36">
        <f>IF(J20=0,"",K20/J20)</f>
        <v/>
      </c>
      <c r="N20" s="37">
        <f>IF(J20=0,"لا ينطبق",IF(K20&gt;=J20,"مكتمل",IF(K20=0,"لا يوجد","عجز")))</f>
        <v/>
      </c>
      <c r="O20" s="38">
        <f>IF(CAP&lt;=$D$4,D20*CAP/$D$4,IF(CAP&gt;=$I$4,I20*CAP/$I$4,INDEX($D20:$I20,$D$3)+$E$3*(INDEX($D20:$I20,$D$3+1)-INDEX($D20:$I20,$D$3))))</f>
        <v/>
      </c>
      <c r="P20" s="39" t="inlineStr">
        <is>
          <t>إيضاح 7</t>
        </is>
      </c>
    </row>
    <row r="21">
      <c r="A21" s="30" t="n">
        <v>17</v>
      </c>
      <c r="B21" s="31" t="inlineStr">
        <is>
          <t>أخصائي غير طبيب</t>
        </is>
      </c>
      <c r="C21" s="5" t="inlineStr">
        <is>
          <t>أخصائي تثقيف صحي (غير طبيب)</t>
        </is>
      </c>
      <c r="D21" s="32" t="n">
        <v>2</v>
      </c>
      <c r="E21" s="32" t="n">
        <v>2</v>
      </c>
      <c r="F21" s="32" t="n">
        <v>2</v>
      </c>
      <c r="G21" s="32" t="n">
        <v>2</v>
      </c>
      <c r="H21" s="32" t="n">
        <v>3</v>
      </c>
      <c r="I21" s="32" t="n">
        <v>4</v>
      </c>
      <c r="J21" s="33">
        <f>IF(RMODE="تقريب لأعلى",ROUNDUP(O21,0),ROUND(O21,0))</f>
        <v/>
      </c>
      <c r="K21" s="34" t="n"/>
      <c r="L21" s="35">
        <f>K21-J21</f>
        <v/>
      </c>
      <c r="M21" s="36">
        <f>IF(J21=0,"",K21/J21)</f>
        <v/>
      </c>
      <c r="N21" s="37">
        <f>IF(J21=0,"لا ينطبق",IF(K21&gt;=J21,"مكتمل",IF(K21=0,"لا يوجد","عجز")))</f>
        <v/>
      </c>
      <c r="O21" s="38">
        <f>IF(CAP&lt;=$D$4,D21*CAP/$D$4,IF(CAP&gt;=$I$4,I21*CAP/$I$4,INDEX($D21:$I21,$D$3)+$E$3*(INDEX($D21:$I21,$D$3+1)-INDEX($D21:$I21,$D$3))))</f>
        <v/>
      </c>
      <c r="P21" s="39" t="inlineStr"/>
    </row>
    <row r="22">
      <c r="A22" s="30" t="n">
        <v>18</v>
      </c>
      <c r="B22" s="31" t="inlineStr">
        <is>
          <t>أخصائي غير طبيب</t>
        </is>
      </c>
      <c r="C22" s="5" t="inlineStr">
        <is>
          <t>أخصائي مناظير باطني</t>
        </is>
      </c>
      <c r="D22" s="32" t="n">
        <v>0</v>
      </c>
      <c r="E22" s="32" t="n">
        <v>2</v>
      </c>
      <c r="F22" s="32" t="n">
        <v>2</v>
      </c>
      <c r="G22" s="32" t="n">
        <v>3</v>
      </c>
      <c r="H22" s="32" t="n">
        <v>4</v>
      </c>
      <c r="I22" s="32" t="n">
        <v>4</v>
      </c>
      <c r="J22" s="33">
        <f>IF(RMODE="تقريب لأعلى",ROUNDUP(O22,0),ROUND(O22,0))</f>
        <v/>
      </c>
      <c r="K22" s="34" t="n"/>
      <c r="L22" s="35">
        <f>K22-J22</f>
        <v/>
      </c>
      <c r="M22" s="36">
        <f>IF(J22=0,"",K22/J22)</f>
        <v/>
      </c>
      <c r="N22" s="37">
        <f>IF(J22=0,"لا ينطبق",IF(K22&gt;=J22,"مكتمل",IF(K22=0,"لا يوجد","عجز")))</f>
        <v/>
      </c>
      <c r="O22" s="38">
        <f>IF(CAP&lt;=$D$4,D22*CAP/$D$4,IF(CAP&gt;=$I$4,I22*CAP/$I$4,INDEX($D22:$I22,$D$3)+$E$3*(INDEX($D22:$I22,$D$3+1)-INDEX($D22:$I22,$D$3))))</f>
        <v/>
      </c>
      <c r="P22" s="39" t="inlineStr"/>
    </row>
    <row r="23">
      <c r="A23" s="30" t="n">
        <v>19</v>
      </c>
      <c r="B23" s="31" t="inlineStr">
        <is>
          <t>أخصائي غير طبيب</t>
        </is>
      </c>
      <c r="C23" s="5" t="inlineStr">
        <is>
          <t>أخصائي مساعد طبيب أسنان</t>
        </is>
      </c>
      <c r="D23" s="32" t="n">
        <v>2</v>
      </c>
      <c r="E23" s="32" t="n">
        <v>2</v>
      </c>
      <c r="F23" s="32" t="n">
        <v>2</v>
      </c>
      <c r="G23" s="32" t="n">
        <v>2</v>
      </c>
      <c r="H23" s="32" t="n">
        <v>2</v>
      </c>
      <c r="I23" s="32" t="n">
        <v>2</v>
      </c>
      <c r="J23" s="33">
        <f>IF(RMODE="تقريب لأعلى",ROUNDUP(O23,0),ROUND(O23,0))</f>
        <v/>
      </c>
      <c r="K23" s="34" t="n"/>
      <c r="L23" s="35">
        <f>K23-J23</f>
        <v/>
      </c>
      <c r="M23" s="36">
        <f>IF(J23=0,"",K23/J23)</f>
        <v/>
      </c>
      <c r="N23" s="37">
        <f>IF(J23=0,"لا ينطبق",IF(K23&gt;=J23,"مكتمل",IF(K23=0,"لا يوجد","عجز")))</f>
        <v/>
      </c>
      <c r="O23" s="38">
        <f>IF(CAP&lt;=$D$4,D23*CAP/$D$4,IF(CAP&gt;=$I$4,I23*CAP/$I$4,INDEX($D23:$I23,$D$3)+$E$3*(INDEX($D23:$I23,$D$3+1)-INDEX($D23:$I23,$D$3))))</f>
        <v/>
      </c>
      <c r="P23" s="39" t="inlineStr"/>
    </row>
    <row r="24">
      <c r="A24" s="30" t="n">
        <v>20</v>
      </c>
      <c r="B24" s="31" t="inlineStr">
        <is>
          <t>تمريض</t>
        </is>
      </c>
      <c r="C24" s="5" t="inlineStr">
        <is>
          <t>أخصائي تمريض 60%</t>
        </is>
      </c>
      <c r="D24" s="32" t="n">
        <v>86</v>
      </c>
      <c r="E24" s="32" t="n">
        <v>174</v>
      </c>
      <c r="F24" s="32" t="n">
        <v>270</v>
      </c>
      <c r="G24" s="32" t="n">
        <v>372</v>
      </c>
      <c r="H24" s="32" t="n">
        <v>572</v>
      </c>
      <c r="I24" s="32" t="n">
        <v>786</v>
      </c>
      <c r="J24" s="33">
        <f>IF(RMODE="تقريب لأعلى",ROUNDUP(O24,0),ROUND(O24,0))</f>
        <v/>
      </c>
      <c r="K24" s="34" t="n"/>
      <c r="L24" s="35">
        <f>K24-J24</f>
        <v/>
      </c>
      <c r="M24" s="36">
        <f>IF(J24=0,"",K24/J24)</f>
        <v/>
      </c>
      <c r="N24" s="37">
        <f>IF(J24=0,"لا ينطبق",IF(K24&gt;=J24,"مكتمل",IF(K24=0,"لا يوجد","عجز")))</f>
        <v/>
      </c>
      <c r="O24" s="38">
        <f>IF(CAP&lt;=$D$4,D24*CAP/$D$4,IF(CAP&gt;=$I$4,I24*CAP/$I$4,INDEX($D24:$I24,$D$3)+$E$3*(INDEX($D24:$I24,$D$3+1)-INDEX($D24:$I24,$D$3))))</f>
        <v/>
      </c>
      <c r="P24" s="39" t="inlineStr">
        <is>
          <t>إيضاح 30</t>
        </is>
      </c>
    </row>
    <row r="25">
      <c r="A25" s="30" t="n">
        <v>21</v>
      </c>
      <c r="B25" s="31" t="inlineStr">
        <is>
          <t>قبالة</t>
        </is>
      </c>
      <c r="C25" s="5" t="inlineStr">
        <is>
          <t>أخصائي قبالة 60%</t>
        </is>
      </c>
      <c r="D25" s="32" t="n">
        <v>15</v>
      </c>
      <c r="E25" s="32" t="n">
        <v>23</v>
      </c>
      <c r="F25" s="32" t="n">
        <v>30</v>
      </c>
      <c r="G25" s="32" t="n">
        <v>45</v>
      </c>
      <c r="H25" s="32" t="n">
        <v>59</v>
      </c>
      <c r="I25" s="32" t="n">
        <v>74</v>
      </c>
      <c r="J25" s="33">
        <f>IF(RMODE="تقريب لأعلى",ROUNDUP(O25,0),ROUND(O25,0))</f>
        <v/>
      </c>
      <c r="K25" s="34" t="n"/>
      <c r="L25" s="35">
        <f>K25-J25</f>
        <v/>
      </c>
      <c r="M25" s="36">
        <f>IF(J25=0,"",K25/J25)</f>
        <v/>
      </c>
      <c r="N25" s="37">
        <f>IF(J25=0,"لا ينطبق",IF(K25&gt;=J25,"مكتمل",IF(K25=0,"لا يوجد","عجز")))</f>
        <v/>
      </c>
      <c r="O25" s="38">
        <f>IF(CAP&lt;=$D$4,D25*CAP/$D$4,IF(CAP&gt;=$I$4,I25*CAP/$I$4,INDEX($D25:$I25,$D$3)+$E$3*(INDEX($D25:$I25,$D$3+1)-INDEX($D25:$I25,$D$3))))</f>
        <v/>
      </c>
      <c r="P25" s="39" t="inlineStr">
        <is>
          <t>إيضاح 10</t>
        </is>
      </c>
    </row>
    <row r="26">
      <c r="A26" s="30" t="n">
        <v>22</v>
      </c>
      <c r="B26" s="31" t="inlineStr">
        <is>
          <t>أخصائي غير طبيب</t>
        </is>
      </c>
      <c r="C26" s="5" t="inlineStr">
        <is>
          <t>أخصائي عمليات</t>
        </is>
      </c>
      <c r="D26" s="32" t="n">
        <v>6</v>
      </c>
      <c r="E26" s="32" t="n">
        <v>8</v>
      </c>
      <c r="F26" s="32" t="n">
        <v>9</v>
      </c>
      <c r="G26" s="32" t="n">
        <v>10</v>
      </c>
      <c r="H26" s="32" t="n">
        <v>15</v>
      </c>
      <c r="I26" s="32" t="n">
        <v>18</v>
      </c>
      <c r="J26" s="33">
        <f>IF(RMODE="تقريب لأعلى",ROUNDUP(O26,0),ROUND(O26,0))</f>
        <v/>
      </c>
      <c r="K26" s="34" t="n"/>
      <c r="L26" s="35">
        <f>K26-J26</f>
        <v/>
      </c>
      <c r="M26" s="36">
        <f>IF(J26=0,"",K26/J26)</f>
        <v/>
      </c>
      <c r="N26" s="37">
        <f>IF(J26=0,"لا ينطبق",IF(K26&gt;=J26,"مكتمل",IF(K26=0,"لا يوجد","عجز")))</f>
        <v/>
      </c>
      <c r="O26" s="38">
        <f>IF(CAP&lt;=$D$4,D26*CAP/$D$4,IF(CAP&gt;=$I$4,I26*CAP/$I$4,INDEX($D26:$I26,$D$3)+$E$3*(INDEX($D26:$I26,$D$3+1)-INDEX($D26:$I26,$D$3))))</f>
        <v/>
      </c>
      <c r="P26" s="39" t="inlineStr"/>
    </row>
    <row r="27">
      <c r="A27" s="30" t="n">
        <v>23</v>
      </c>
      <c r="B27" s="31" t="inlineStr">
        <is>
          <t>أخصائي غير طبيب</t>
        </is>
      </c>
      <c r="C27" s="5" t="inlineStr">
        <is>
          <t>أخصائي تعقيم</t>
        </is>
      </c>
      <c r="D27" s="32" t="n">
        <v>4</v>
      </c>
      <c r="E27" s="32" t="n">
        <v>4</v>
      </c>
      <c r="F27" s="32" t="n">
        <v>5</v>
      </c>
      <c r="G27" s="32" t="n">
        <v>6</v>
      </c>
      <c r="H27" s="32" t="n">
        <v>7</v>
      </c>
      <c r="I27" s="32" t="n">
        <v>8</v>
      </c>
      <c r="J27" s="33">
        <f>IF(RMODE="تقريب لأعلى",ROUNDUP(O27,0),ROUND(O27,0))</f>
        <v/>
      </c>
      <c r="K27" s="34" t="n"/>
      <c r="L27" s="35">
        <f>K27-J27</f>
        <v/>
      </c>
      <c r="M27" s="36">
        <f>IF(J27=0,"",K27/J27)</f>
        <v/>
      </c>
      <c r="N27" s="37">
        <f>IF(J27=0,"لا ينطبق",IF(K27&gt;=J27,"مكتمل",IF(K27=0,"لا يوجد","عجز")))</f>
        <v/>
      </c>
      <c r="O27" s="38">
        <f>IF(CAP&lt;=$D$4,D27*CAP/$D$4,IF(CAP&gt;=$I$4,I27*CAP/$I$4,INDEX($D27:$I27,$D$3)+$E$3*(INDEX($D27:$I27,$D$3+1)-INDEX($D27:$I27,$D$3))))</f>
        <v/>
      </c>
      <c r="P27" s="39" t="inlineStr"/>
    </row>
    <row r="28">
      <c r="A28" s="30" t="n">
        <v>24</v>
      </c>
      <c r="B28" s="31" t="inlineStr">
        <is>
          <t>أخصائي غير طبيب</t>
        </is>
      </c>
      <c r="C28" s="5" t="inlineStr">
        <is>
          <t>أخصائي جبائر</t>
        </is>
      </c>
      <c r="D28" s="32" t="n">
        <v>1</v>
      </c>
      <c r="E28" s="32" t="n">
        <v>1</v>
      </c>
      <c r="F28" s="32" t="n">
        <v>2</v>
      </c>
      <c r="G28" s="32" t="n">
        <v>3</v>
      </c>
      <c r="H28" s="32" t="n">
        <v>3</v>
      </c>
      <c r="I28" s="32" t="n">
        <v>4</v>
      </c>
      <c r="J28" s="33">
        <f>IF(RMODE="تقريب لأعلى",ROUNDUP(O28,0),ROUND(O28,0))</f>
        <v/>
      </c>
      <c r="K28" s="34" t="n"/>
      <c r="L28" s="35">
        <f>K28-J28</f>
        <v/>
      </c>
      <c r="M28" s="36">
        <f>IF(J28=0,"",K28/J28)</f>
        <v/>
      </c>
      <c r="N28" s="37">
        <f>IF(J28=0,"لا ينطبق",IF(K28&gt;=J28,"مكتمل",IF(K28=0,"لا يوجد","عجز")))</f>
        <v/>
      </c>
      <c r="O28" s="38">
        <f>IF(CAP&lt;=$D$4,D28*CAP/$D$4,IF(CAP&gt;=$I$4,I28*CAP/$I$4,INDEX($D28:$I28,$D$3)+$E$3*(INDEX($D28:$I28,$D$3+1)-INDEX($D28:$I28,$D$3))))</f>
        <v/>
      </c>
      <c r="P28" s="39" t="inlineStr"/>
    </row>
    <row r="29">
      <c r="A29" s="30" t="n">
        <v>25</v>
      </c>
      <c r="B29" s="31" t="inlineStr">
        <is>
          <t>أخصائي غير طبيب</t>
        </is>
      </c>
      <c r="C29" s="5" t="inlineStr">
        <is>
          <t>أخصائي علاج تنفسي</t>
        </is>
      </c>
      <c r="D29" s="32" t="n">
        <v>4</v>
      </c>
      <c r="E29" s="32" t="n">
        <v>9</v>
      </c>
      <c r="F29" s="32" t="n">
        <v>12</v>
      </c>
      <c r="G29" s="32" t="n">
        <v>16</v>
      </c>
      <c r="H29" s="32" t="n">
        <v>25</v>
      </c>
      <c r="I29" s="32" t="n">
        <v>30</v>
      </c>
      <c r="J29" s="33">
        <f>IF(RMODE="تقريب لأعلى",ROUNDUP(O29,0),ROUND(O29,0))</f>
        <v/>
      </c>
      <c r="K29" s="34" t="n"/>
      <c r="L29" s="35">
        <f>K29-J29</f>
        <v/>
      </c>
      <c r="M29" s="36">
        <f>IF(J29=0,"",K29/J29)</f>
        <v/>
      </c>
      <c r="N29" s="37">
        <f>IF(J29=0,"لا ينطبق",IF(K29&gt;=J29,"مكتمل",IF(K29=0,"لا يوجد","عجز")))</f>
        <v/>
      </c>
      <c r="O29" s="38">
        <f>IF(CAP&lt;=$D$4,D29*CAP/$D$4,IF(CAP&gt;=$I$4,I29*CAP/$I$4,INDEX($D29:$I29,$D$3)+$E$3*(INDEX($D29:$I29,$D$3+1)-INDEX($D29:$I29,$D$3))))</f>
        <v/>
      </c>
      <c r="P29" s="39" t="inlineStr">
        <is>
          <t>إيضاحات 22-25</t>
        </is>
      </c>
    </row>
    <row r="30">
      <c r="A30" s="30" t="n">
        <v>26</v>
      </c>
      <c r="B30" s="31" t="inlineStr">
        <is>
          <t>أخصائي غير طبيب</t>
        </is>
      </c>
      <c r="C30" s="5" t="inlineStr">
        <is>
          <t>أخصائي بصريات</t>
        </is>
      </c>
      <c r="D30" s="32" t="n">
        <v>2</v>
      </c>
      <c r="E30" s="32" t="n">
        <v>3</v>
      </c>
      <c r="F30" s="32" t="n">
        <v>4</v>
      </c>
      <c r="G30" s="32" t="n">
        <v>5</v>
      </c>
      <c r="H30" s="32" t="n">
        <v>6</v>
      </c>
      <c r="I30" s="32" t="n">
        <v>6</v>
      </c>
      <c r="J30" s="33">
        <f>IF(RMODE="تقريب لأعلى",ROUNDUP(O30,0),ROUND(O30,0))</f>
        <v/>
      </c>
      <c r="K30" s="34" t="n"/>
      <c r="L30" s="35">
        <f>K30-J30</f>
        <v/>
      </c>
      <c r="M30" s="36">
        <f>IF(J30=0,"",K30/J30)</f>
        <v/>
      </c>
      <c r="N30" s="37">
        <f>IF(J30=0,"لا ينطبق",IF(K30&gt;=J30,"مكتمل",IF(K30=0,"لا يوجد","عجز")))</f>
        <v/>
      </c>
      <c r="O30" s="38">
        <f>IF(CAP&lt;=$D$4,D30*CAP/$D$4,IF(CAP&gt;=$I$4,I30*CAP/$I$4,INDEX($D30:$I30,$D$3)+$E$3*(INDEX($D30:$I30,$D$3+1)-INDEX($D30:$I30,$D$3))))</f>
        <v/>
      </c>
      <c r="P30" s="39" t="inlineStr"/>
    </row>
    <row r="31">
      <c r="A31" s="30" t="n">
        <v>27</v>
      </c>
      <c r="B31" s="31" t="inlineStr">
        <is>
          <t>أخصائي غير طبيب</t>
        </is>
      </c>
      <c r="C31" s="5" t="inlineStr">
        <is>
          <t>أخصائي أجهزة طبية</t>
        </is>
      </c>
      <c r="D31" s="32" t="n">
        <v>1</v>
      </c>
      <c r="E31" s="32" t="n">
        <v>2</v>
      </c>
      <c r="F31" s="32" t="n">
        <v>4</v>
      </c>
      <c r="G31" s="32" t="n">
        <v>4</v>
      </c>
      <c r="H31" s="32" t="n">
        <v>5</v>
      </c>
      <c r="I31" s="32" t="n">
        <v>6</v>
      </c>
      <c r="J31" s="33">
        <f>IF(RMODE="تقريب لأعلى",ROUNDUP(O31,0),ROUND(O31,0))</f>
        <v/>
      </c>
      <c r="K31" s="34" t="n"/>
      <c r="L31" s="35">
        <f>K31-J31</f>
        <v/>
      </c>
      <c r="M31" s="36">
        <f>IF(J31=0,"",K31/J31)</f>
        <v/>
      </c>
      <c r="N31" s="37">
        <f>IF(J31=0,"لا ينطبق",IF(K31&gt;=J31,"مكتمل",IF(K31=0,"لا يوجد","عجز")))</f>
        <v/>
      </c>
      <c r="O31" s="38">
        <f>IF(CAP&lt;=$D$4,D31*CAP/$D$4,IF(CAP&gt;=$I$4,I31*CAP/$I$4,INDEX($D31:$I31,$D$3)+$E$3*(INDEX($D31:$I31,$D$3+1)-INDEX($D31:$I31,$D$3))))</f>
        <v/>
      </c>
      <c r="P31" s="39" t="inlineStr"/>
    </row>
    <row r="32">
      <c r="A32" s="30" t="n">
        <v>28</v>
      </c>
      <c r="B32" s="31" t="inlineStr">
        <is>
          <t>أخصائي غير طبيب</t>
        </is>
      </c>
      <c r="C32" s="5" t="inlineStr">
        <is>
          <t>أخصائي معلوماتية صحية</t>
        </is>
      </c>
      <c r="D32" s="32" t="n">
        <v>5</v>
      </c>
      <c r="E32" s="32" t="n">
        <v>10</v>
      </c>
      <c r="F32" s="32" t="n">
        <v>15</v>
      </c>
      <c r="G32" s="32" t="n">
        <v>15</v>
      </c>
      <c r="H32" s="32" t="n">
        <v>20</v>
      </c>
      <c r="I32" s="32" t="n">
        <v>25</v>
      </c>
      <c r="J32" s="33">
        <f>IF(RMODE="تقريب لأعلى",ROUNDUP(O32,0),ROUND(O32,0))</f>
        <v/>
      </c>
      <c r="K32" s="34" t="n"/>
      <c r="L32" s="35">
        <f>K32-J32</f>
        <v/>
      </c>
      <c r="M32" s="36">
        <f>IF(J32=0,"",K32/J32)</f>
        <v/>
      </c>
      <c r="N32" s="37">
        <f>IF(J32=0,"لا ينطبق",IF(K32&gt;=J32,"مكتمل",IF(K32=0,"لا يوجد","عجز")))</f>
        <v/>
      </c>
      <c r="O32" s="38">
        <f>IF(CAP&lt;=$D$4,D32*CAP/$D$4,IF(CAP&gt;=$I$4,I32*CAP/$I$4,INDEX($D32:$I32,$D$3)+$E$3*(INDEX($D32:$I32,$D$3+1)-INDEX($D32:$I32,$D$3))))</f>
        <v/>
      </c>
      <c r="P32" s="39" t="inlineStr"/>
    </row>
    <row r="33">
      <c r="A33" s="30" t="n">
        <v>29</v>
      </c>
      <c r="B33" s="31" t="inlineStr">
        <is>
          <t>أخصائي غير طبيب</t>
        </is>
      </c>
      <c r="C33" s="5" t="inlineStr">
        <is>
          <t>أخصائي صحة عامة</t>
        </is>
      </c>
      <c r="D33" s="32" t="n">
        <v>2</v>
      </c>
      <c r="E33" s="32" t="n">
        <v>2</v>
      </c>
      <c r="F33" s="32" t="n">
        <v>2</v>
      </c>
      <c r="G33" s="32" t="n">
        <v>2</v>
      </c>
      <c r="H33" s="32" t="n">
        <v>3</v>
      </c>
      <c r="I33" s="32" t="n">
        <v>3</v>
      </c>
      <c r="J33" s="33">
        <f>IF(RMODE="تقريب لأعلى",ROUNDUP(O33,0),ROUND(O33,0))</f>
        <v/>
      </c>
      <c r="K33" s="34" t="n"/>
      <c r="L33" s="35">
        <f>K33-J33</f>
        <v/>
      </c>
      <c r="M33" s="36">
        <f>IF(J33=0,"",K33/J33)</f>
        <v/>
      </c>
      <c r="N33" s="37">
        <f>IF(J33=0,"لا ينطبق",IF(K33&gt;=J33,"مكتمل",IF(K33=0,"لا يوجد","عجز")))</f>
        <v/>
      </c>
      <c r="O33" s="38">
        <f>IF(CAP&lt;=$D$4,D33*CAP/$D$4,IF(CAP&gt;=$I$4,I33*CAP/$I$4,INDEX($D33:$I33,$D$3)+$E$3*(INDEX($D33:$I33,$D$3+1)-INDEX($D33:$I33,$D$3))))</f>
        <v/>
      </c>
      <c r="P33" s="39" t="inlineStr"/>
    </row>
    <row r="34">
      <c r="A34" s="30" t="n">
        <v>30</v>
      </c>
      <c r="B34" s="31" t="inlineStr">
        <is>
          <t>أخصائي غير طبيب</t>
        </is>
      </c>
      <c r="C34" s="5" t="inlineStr">
        <is>
          <t>أخصائي وبائيات</t>
        </is>
      </c>
      <c r="D34" s="32" t="n">
        <v>1</v>
      </c>
      <c r="E34" s="32" t="n">
        <v>1</v>
      </c>
      <c r="F34" s="32" t="n">
        <v>2</v>
      </c>
      <c r="G34" s="32" t="n">
        <v>2</v>
      </c>
      <c r="H34" s="32" t="n">
        <v>3</v>
      </c>
      <c r="I34" s="32" t="n">
        <v>4</v>
      </c>
      <c r="J34" s="33">
        <f>IF(RMODE="تقريب لأعلى",ROUNDUP(O34,0),ROUND(O34,0))</f>
        <v/>
      </c>
      <c r="K34" s="34" t="n"/>
      <c r="L34" s="35">
        <f>K34-J34</f>
        <v/>
      </c>
      <c r="M34" s="36">
        <f>IF(J34=0,"",K34/J34)</f>
        <v/>
      </c>
      <c r="N34" s="37">
        <f>IF(J34=0,"لا ينطبق",IF(K34&gt;=J34,"مكتمل",IF(K34=0,"لا يوجد","عجز")))</f>
        <v/>
      </c>
      <c r="O34" s="38">
        <f>IF(CAP&lt;=$D$4,D34*CAP/$D$4,IF(CAP&gt;=$I$4,I34*CAP/$I$4,INDEX($D34:$I34,$D$3)+$E$3*(INDEX($D34:$I34,$D$3+1)-INDEX($D34:$I34,$D$3))))</f>
        <v/>
      </c>
      <c r="P34" s="39" t="inlineStr"/>
    </row>
    <row r="35">
      <c r="A35" s="30" t="n">
        <v>31</v>
      </c>
      <c r="B35" s="31" t="inlineStr">
        <is>
          <t>أخصائي غير طبيب</t>
        </is>
      </c>
      <c r="C35" s="5" t="inlineStr">
        <is>
          <t>أخصائي تغذية</t>
        </is>
      </c>
      <c r="D35" s="32" t="n">
        <v>3</v>
      </c>
      <c r="E35" s="32" t="n">
        <v>4</v>
      </c>
      <c r="F35" s="32" t="n">
        <v>4</v>
      </c>
      <c r="G35" s="32" t="n">
        <v>8</v>
      </c>
      <c r="H35" s="32" t="n">
        <v>10</v>
      </c>
      <c r="I35" s="32" t="n">
        <v>12</v>
      </c>
      <c r="J35" s="33">
        <f>IF(RMODE="تقريب لأعلى",ROUNDUP(O35,0),ROUND(O35,0))</f>
        <v/>
      </c>
      <c r="K35" s="34" t="n"/>
      <c r="L35" s="35">
        <f>K35-J35</f>
        <v/>
      </c>
      <c r="M35" s="36">
        <f>IF(J35=0,"",K35/J35)</f>
        <v/>
      </c>
      <c r="N35" s="37">
        <f>IF(J35=0,"لا ينطبق",IF(K35&gt;=J35,"مكتمل",IF(K35=0,"لا يوجد","عجز")))</f>
        <v/>
      </c>
      <c r="O35" s="38">
        <f>IF(CAP&lt;=$D$4,D35*CAP/$D$4,IF(CAP&gt;=$I$4,I35*CAP/$I$4,INDEX($D35:$I35,$D$3)+$E$3*(INDEX($D35:$I35,$D$3+1)-INDEX($D35:$I35,$D$3))))</f>
        <v/>
      </c>
      <c r="P35" s="39" t="inlineStr"/>
    </row>
    <row r="36">
      <c r="A36" s="30" t="n">
        <v>32</v>
      </c>
      <c r="B36" s="31" t="inlineStr">
        <is>
          <t>أخصائي غير طبيب</t>
        </is>
      </c>
      <c r="C36" s="5" t="inlineStr">
        <is>
          <t>أخصائي تغذية علاجية</t>
        </is>
      </c>
      <c r="D36" s="32" t="n">
        <v>2</v>
      </c>
      <c r="E36" s="32" t="n">
        <v>5</v>
      </c>
      <c r="F36" s="32" t="n">
        <v>6</v>
      </c>
      <c r="G36" s="32" t="n">
        <v>8</v>
      </c>
      <c r="H36" s="32" t="n">
        <v>10</v>
      </c>
      <c r="I36" s="32" t="n">
        <v>12</v>
      </c>
      <c r="J36" s="33">
        <f>IF(RMODE="تقريب لأعلى",ROUNDUP(O36,0),ROUND(O36,0))</f>
        <v/>
      </c>
      <c r="K36" s="34" t="n"/>
      <c r="L36" s="35">
        <f>K36-J36</f>
        <v/>
      </c>
      <c r="M36" s="36">
        <f>IF(J36=0,"",K36/J36)</f>
        <v/>
      </c>
      <c r="N36" s="37">
        <f>IF(J36=0,"لا ينطبق",IF(K36&gt;=J36,"مكتمل",IF(K36=0,"لا يوجد","عجز")))</f>
        <v/>
      </c>
      <c r="O36" s="38">
        <f>IF(CAP&lt;=$D$4,D36*CAP/$D$4,IF(CAP&gt;=$I$4,I36*CAP/$I$4,INDEX($D36:$I36,$D$3)+$E$3*(INDEX($D36:$I36,$D$3+1)-INDEX($D36:$I36,$D$3))))</f>
        <v/>
      </c>
      <c r="P36" s="39" t="inlineStr"/>
    </row>
    <row r="37">
      <c r="A37" s="30" t="n">
        <v>33</v>
      </c>
      <c r="B37" s="31" t="inlineStr">
        <is>
          <t>أخصائي غير طبيب</t>
        </is>
      </c>
      <c r="C37" s="5" t="inlineStr">
        <is>
          <t>أخصائي اجتماعي</t>
        </is>
      </c>
      <c r="D37" s="32" t="n">
        <v>4</v>
      </c>
      <c r="E37" s="32" t="n">
        <v>6</v>
      </c>
      <c r="F37" s="32" t="n">
        <v>8</v>
      </c>
      <c r="G37" s="32" t="n">
        <v>10</v>
      </c>
      <c r="H37" s="32" t="n">
        <v>12</v>
      </c>
      <c r="I37" s="32" t="n">
        <v>15</v>
      </c>
      <c r="J37" s="33">
        <f>IF(RMODE="تقريب لأعلى",ROUNDUP(O37,0),ROUND(O37,0))</f>
        <v/>
      </c>
      <c r="K37" s="34" t="n"/>
      <c r="L37" s="35">
        <f>K37-J37</f>
        <v/>
      </c>
      <c r="M37" s="36">
        <f>IF(J37=0,"",K37/J37)</f>
        <v/>
      </c>
      <c r="N37" s="37">
        <f>IF(J37=0,"لا ينطبق",IF(K37&gt;=J37,"مكتمل",IF(K37=0,"لا يوجد","عجز")))</f>
        <v/>
      </c>
      <c r="O37" s="38">
        <f>IF(CAP&lt;=$D$4,D37*CAP/$D$4,IF(CAP&gt;=$I$4,I37*CAP/$I$4,INDEX($D37:$I37,$D$3)+$E$3*(INDEX($D37:$I37,$D$3+1)-INDEX($D37:$I37,$D$3))))</f>
        <v/>
      </c>
      <c r="P37" s="39" t="inlineStr"/>
    </row>
    <row r="38">
      <c r="A38" s="30" t="n">
        <v>34</v>
      </c>
      <c r="B38" s="31" t="inlineStr">
        <is>
          <t>أخصائي غير طبيب</t>
        </is>
      </c>
      <c r="C38" s="5" t="inlineStr">
        <is>
          <t>أخصائي توثيق إكلينيكي CDI</t>
        </is>
      </c>
      <c r="D38" s="32" t="n">
        <v>2</v>
      </c>
      <c r="E38" s="32" t="n">
        <v>2</v>
      </c>
      <c r="F38" s="32" t="n">
        <v>2</v>
      </c>
      <c r="G38" s="32" t="n">
        <v>2</v>
      </c>
      <c r="H38" s="32" t="n">
        <v>2</v>
      </c>
      <c r="I38" s="32" t="n">
        <v>3</v>
      </c>
      <c r="J38" s="33">
        <f>IF(RMODE="تقريب لأعلى",ROUNDUP(O38,0),ROUND(O38,0))</f>
        <v/>
      </c>
      <c r="K38" s="34" t="n"/>
      <c r="L38" s="35">
        <f>K38-J38</f>
        <v/>
      </c>
      <c r="M38" s="36">
        <f>IF(J38=0,"",K38/J38)</f>
        <v/>
      </c>
      <c r="N38" s="37">
        <f>IF(J38=0,"لا ينطبق",IF(K38&gt;=J38,"مكتمل",IF(K38=0,"لا يوجد","عجز")))</f>
        <v/>
      </c>
      <c r="O38" s="38">
        <f>IF(CAP&lt;=$D$4,D38*CAP/$D$4,IF(CAP&gt;=$I$4,I38*CAP/$I$4,INDEX($D38:$I38,$D$3)+$E$3*(INDEX($D38:$I38,$D$3+1)-INDEX($D38:$I38,$D$3))))</f>
        <v/>
      </c>
      <c r="P38" s="39" t="inlineStr"/>
    </row>
    <row r="39">
      <c r="A39" s="30" t="n">
        <v>35</v>
      </c>
      <c r="B39" s="31" t="inlineStr">
        <is>
          <t>أخصائي غير طبيب</t>
        </is>
      </c>
      <c r="C39" s="5" t="inlineStr">
        <is>
          <t>أخصائي أول تغذية عامة / سلامة غذاء</t>
        </is>
      </c>
      <c r="D39" s="32" t="n">
        <v>0</v>
      </c>
      <c r="E39" s="32" t="n">
        <v>1</v>
      </c>
      <c r="F39" s="32" t="n">
        <v>2</v>
      </c>
      <c r="G39" s="32" t="n">
        <v>2</v>
      </c>
      <c r="H39" s="32" t="n">
        <v>2</v>
      </c>
      <c r="I39" s="32" t="n">
        <v>3</v>
      </c>
      <c r="J39" s="33">
        <f>IF(RMODE="تقريب لأعلى",ROUNDUP(O39,0),ROUND(O39,0))</f>
        <v/>
      </c>
      <c r="K39" s="34" t="n"/>
      <c r="L39" s="35">
        <f>K39-J39</f>
        <v/>
      </c>
      <c r="M39" s="36">
        <f>IF(J39=0,"",K39/J39)</f>
        <v/>
      </c>
      <c r="N39" s="37">
        <f>IF(J39=0,"لا ينطبق",IF(K39&gt;=J39,"مكتمل",IF(K39=0,"لا يوجد","عجز")))</f>
        <v/>
      </c>
      <c r="O39" s="38">
        <f>IF(CAP&lt;=$D$4,D39*CAP/$D$4,IF(CAP&gt;=$I$4,I39*CAP/$I$4,INDEX($D39:$I39,$D$3)+$E$3*(INDEX($D39:$I39,$D$3+1)-INDEX($D39:$I39,$D$3))))</f>
        <v/>
      </c>
      <c r="P39" s="39" t="inlineStr"/>
    </row>
    <row r="40">
      <c r="A40" s="30" t="n">
        <v>36</v>
      </c>
      <c r="B40" s="31" t="inlineStr">
        <is>
          <t>أخصائي غير طبيب</t>
        </is>
      </c>
      <c r="C40" s="5" t="inlineStr">
        <is>
          <t>استشاري تغذية عامة / سلامة غذاء</t>
        </is>
      </c>
      <c r="D40" s="32" t="n">
        <v>0</v>
      </c>
      <c r="E40" s="32" t="n">
        <v>0</v>
      </c>
      <c r="F40" s="32" t="n">
        <v>1</v>
      </c>
      <c r="G40" s="32" t="n">
        <v>1</v>
      </c>
      <c r="H40" s="32" t="n">
        <v>2</v>
      </c>
      <c r="I40" s="32" t="n">
        <v>2</v>
      </c>
      <c r="J40" s="33">
        <f>IF(RMODE="تقريب لأعلى",ROUNDUP(O40,0),ROUND(O40,0))</f>
        <v/>
      </c>
      <c r="K40" s="34" t="n"/>
      <c r="L40" s="35">
        <f>K40-J40</f>
        <v/>
      </c>
      <c r="M40" s="36">
        <f>IF(J40=0,"",K40/J40)</f>
        <v/>
      </c>
      <c r="N40" s="37">
        <f>IF(J40=0,"لا ينطبق",IF(K40&gt;=J40,"مكتمل",IF(K40=0,"لا يوجد","عجز")))</f>
        <v/>
      </c>
      <c r="O40" s="38">
        <f>IF(CAP&lt;=$D$4,D40*CAP/$D$4,IF(CAP&gt;=$I$4,I40*CAP/$I$4,INDEX($D40:$I40,$D$3)+$E$3*(INDEX($D40:$I40,$D$3+1)-INDEX($D40:$I40,$D$3))))</f>
        <v/>
      </c>
      <c r="P40" s="39" t="inlineStr"/>
    </row>
    <row r="41">
      <c r="A41" s="30" t="n">
        <v>37</v>
      </c>
      <c r="B41" s="31" t="inlineStr">
        <is>
          <t>أخصائي غير طبيب</t>
        </is>
      </c>
      <c r="C41" s="5" t="inlineStr">
        <is>
          <t>أخصائي أول تغذية سريرية</t>
        </is>
      </c>
      <c r="D41" s="32" t="n">
        <v>0</v>
      </c>
      <c r="E41" s="32" t="n">
        <v>1</v>
      </c>
      <c r="F41" s="32" t="n">
        <v>2</v>
      </c>
      <c r="G41" s="32" t="n">
        <v>3</v>
      </c>
      <c r="H41" s="32" t="n">
        <v>4</v>
      </c>
      <c r="I41" s="32" t="n">
        <v>5</v>
      </c>
      <c r="J41" s="33">
        <f>IF(RMODE="تقريب لأعلى",ROUNDUP(O41,0),ROUND(O41,0))</f>
        <v/>
      </c>
      <c r="K41" s="34" t="n"/>
      <c r="L41" s="35">
        <f>K41-J41</f>
        <v/>
      </c>
      <c r="M41" s="36">
        <f>IF(J41=0,"",K41/J41)</f>
        <v/>
      </c>
      <c r="N41" s="37">
        <f>IF(J41=0,"لا ينطبق",IF(K41&gt;=J41,"مكتمل",IF(K41=0,"لا يوجد","عجز")))</f>
        <v/>
      </c>
      <c r="O41" s="38">
        <f>IF(CAP&lt;=$D$4,D41*CAP/$D$4,IF(CAP&gt;=$I$4,I41*CAP/$I$4,INDEX($D41:$I41,$D$3)+$E$3*(INDEX($D41:$I41,$D$3+1)-INDEX($D41:$I41,$D$3))))</f>
        <v/>
      </c>
      <c r="P41" s="39" t="inlineStr"/>
    </row>
    <row r="42">
      <c r="A42" s="30" t="n">
        <v>38</v>
      </c>
      <c r="B42" s="31" t="inlineStr">
        <is>
          <t>أخصائي غير طبيب</t>
        </is>
      </c>
      <c r="C42" s="5" t="inlineStr">
        <is>
          <t>استشاري تغذية سريرية</t>
        </is>
      </c>
      <c r="D42" s="32" t="n">
        <v>0</v>
      </c>
      <c r="E42" s="32" t="n">
        <v>0</v>
      </c>
      <c r="F42" s="32" t="n">
        <v>1</v>
      </c>
      <c r="G42" s="32" t="n">
        <v>1</v>
      </c>
      <c r="H42" s="32" t="n">
        <v>2</v>
      </c>
      <c r="I42" s="32" t="n">
        <v>2</v>
      </c>
      <c r="J42" s="33">
        <f>IF(RMODE="تقريب لأعلى",ROUNDUP(O42,0),ROUND(O42,0))</f>
        <v/>
      </c>
      <c r="K42" s="34" t="n"/>
      <c r="L42" s="35">
        <f>K42-J42</f>
        <v/>
      </c>
      <c r="M42" s="36">
        <f>IF(J42=0,"",K42/J42)</f>
        <v/>
      </c>
      <c r="N42" s="37">
        <f>IF(J42=0,"لا ينطبق",IF(K42&gt;=J42,"مكتمل",IF(K42=0,"لا يوجد","عجز")))</f>
        <v/>
      </c>
      <c r="O42" s="38">
        <f>IF(CAP&lt;=$D$4,D42*CAP/$D$4,IF(CAP&gt;=$I$4,I42*CAP/$I$4,INDEX($D42:$I42,$D$3)+$E$3*(INDEX($D42:$I42,$D$3+1)-INDEX($D42:$I42,$D$3))))</f>
        <v/>
      </c>
      <c r="P42" s="39" t="inlineStr"/>
    </row>
    <row r="43">
      <c r="A43" s="30" t="n">
        <v>39</v>
      </c>
      <c r="B43" s="31" t="inlineStr">
        <is>
          <t>أخصائي غير طبيب</t>
        </is>
      </c>
      <c r="C43" s="5" t="inlineStr">
        <is>
          <t>أخصائي إدارة مخاطر</t>
        </is>
      </c>
      <c r="D43" s="32" t="n">
        <v>1</v>
      </c>
      <c r="E43" s="32" t="n">
        <v>1</v>
      </c>
      <c r="F43" s="32" t="n">
        <v>1</v>
      </c>
      <c r="G43" s="32" t="n">
        <v>1</v>
      </c>
      <c r="H43" s="32" t="n">
        <v>2</v>
      </c>
      <c r="I43" s="32" t="n">
        <v>2</v>
      </c>
      <c r="J43" s="33">
        <f>IF(RMODE="تقريب لأعلى",ROUNDUP(O43,0),ROUND(O43,0))</f>
        <v/>
      </c>
      <c r="K43" s="34" t="n"/>
      <c r="L43" s="35">
        <f>K43-J43</f>
        <v/>
      </c>
      <c r="M43" s="36">
        <f>IF(J43=0,"",K43/J43)</f>
        <v/>
      </c>
      <c r="N43" s="37">
        <f>IF(J43=0,"لا ينطبق",IF(K43&gt;=J43,"مكتمل",IF(K43=0,"لا يوجد","عجز")))</f>
        <v/>
      </c>
      <c r="O43" s="38">
        <f>IF(CAP&lt;=$D$4,D43*CAP/$D$4,IF(CAP&gt;=$I$4,I43*CAP/$I$4,INDEX($D43:$I43,$D$3)+$E$3*(INDEX($D43:$I43,$D$3+1)-INDEX($D43:$I43,$D$3))))</f>
        <v/>
      </c>
      <c r="P43" s="39" t="inlineStr"/>
    </row>
    <row r="44">
      <c r="A44" s="30" t="n">
        <v>40</v>
      </c>
      <c r="B44" s="31" t="inlineStr">
        <is>
          <t>أخصائي غير طبيب</t>
        </is>
      </c>
      <c r="C44" s="5" t="inlineStr">
        <is>
          <t>أخصائي مكافحة عدوى (غير طبيب)</t>
        </is>
      </c>
      <c r="D44" s="32" t="n">
        <v>3</v>
      </c>
      <c r="E44" s="32" t="n">
        <v>3</v>
      </c>
      <c r="F44" s="32" t="n">
        <v>4</v>
      </c>
      <c r="G44" s="32" t="n">
        <v>5</v>
      </c>
      <c r="H44" s="32" t="n">
        <v>7</v>
      </c>
      <c r="I44" s="32" t="n">
        <v>9</v>
      </c>
      <c r="J44" s="33">
        <f>IF(RMODE="تقريب لأعلى",ROUNDUP(O44,0),ROUND(O44,0))</f>
        <v/>
      </c>
      <c r="K44" s="34" t="n"/>
      <c r="L44" s="35">
        <f>K44-J44</f>
        <v/>
      </c>
      <c r="M44" s="36">
        <f>IF(J44=0,"",K44/J44)</f>
        <v/>
      </c>
      <c r="N44" s="37">
        <f>IF(J44=0,"لا ينطبق",IF(K44&gt;=J44,"مكتمل",IF(K44=0,"لا يوجد","عجز")))</f>
        <v/>
      </c>
      <c r="O44" s="38">
        <f>IF(CAP&lt;=$D$4,D44*CAP/$D$4,IF(CAP&gt;=$I$4,I44*CAP/$I$4,INDEX($D44:$I44,$D$3)+$E$3*(INDEX($D44:$I44,$D$3+1)-INDEX($D44:$I44,$D$3))))</f>
        <v/>
      </c>
      <c r="P44" s="39" t="inlineStr">
        <is>
          <t>إيضاح 7</t>
        </is>
      </c>
    </row>
    <row r="45">
      <c r="A45" s="30" t="n">
        <v>41</v>
      </c>
      <c r="B45" s="31" t="inlineStr">
        <is>
          <t>أخصائي غير طبيب</t>
        </is>
      </c>
      <c r="C45" s="5" t="inlineStr">
        <is>
          <t>أخصائي صحة مهنية (غير طبيب)</t>
        </is>
      </c>
      <c r="D45" s="32" t="n">
        <v>1</v>
      </c>
      <c r="E45" s="32" t="n">
        <v>2</v>
      </c>
      <c r="F45" s="32" t="n">
        <v>2</v>
      </c>
      <c r="G45" s="32" t="n">
        <v>2</v>
      </c>
      <c r="H45" s="32" t="n">
        <v>3</v>
      </c>
      <c r="I45" s="32" t="n">
        <v>3</v>
      </c>
      <c r="J45" s="33">
        <f>IF(RMODE="تقريب لأعلى",ROUNDUP(O45,0),ROUND(O45,0))</f>
        <v/>
      </c>
      <c r="K45" s="34" t="n"/>
      <c r="L45" s="35">
        <f>K45-J45</f>
        <v/>
      </c>
      <c r="M45" s="36">
        <f>IF(J45=0,"",K45/J45)</f>
        <v/>
      </c>
      <c r="N45" s="37">
        <f>IF(J45=0,"لا ينطبق",IF(K45&gt;=J45,"مكتمل",IF(K45=0,"لا يوجد","عجز")))</f>
        <v/>
      </c>
      <c r="O45" s="38">
        <f>IF(CAP&lt;=$D$4,D45*CAP/$D$4,IF(CAP&gt;=$I$4,I45*CAP/$I$4,INDEX($D45:$I45,$D$3)+$E$3*(INDEX($D45:$I45,$D$3+1)-INDEX($D45:$I45,$D$3))))</f>
        <v/>
      </c>
      <c r="P45" s="39" t="inlineStr"/>
    </row>
    <row r="46">
      <c r="A46" s="30" t="n">
        <v>42</v>
      </c>
      <c r="B46" s="31" t="inlineStr">
        <is>
          <t>أخصائي غير طبيب</t>
        </is>
      </c>
      <c r="C46" s="5" t="inlineStr">
        <is>
          <t>أخصائي صحة بيئة (غير طبيب)</t>
        </is>
      </c>
      <c r="D46" s="32" t="n">
        <v>1</v>
      </c>
      <c r="E46" s="32" t="n">
        <v>1</v>
      </c>
      <c r="F46" s="32" t="n">
        <v>1</v>
      </c>
      <c r="G46" s="32" t="n">
        <v>1</v>
      </c>
      <c r="H46" s="32" t="n">
        <v>1</v>
      </c>
      <c r="I46" s="32" t="n">
        <v>1</v>
      </c>
      <c r="J46" s="33">
        <f>IF(RMODE="تقريب لأعلى",ROUNDUP(O46,0),ROUND(O46,0))</f>
        <v/>
      </c>
      <c r="K46" s="34" t="n"/>
      <c r="L46" s="35">
        <f>K46-J46</f>
        <v/>
      </c>
      <c r="M46" s="36">
        <f>IF(J46=0,"",K46/J46)</f>
        <v/>
      </c>
      <c r="N46" s="37">
        <f>IF(J46=0,"لا ينطبق",IF(K46&gt;=J46,"مكتمل",IF(K46=0,"لا يوجد","عجز")))</f>
        <v/>
      </c>
      <c r="O46" s="38">
        <f>IF(CAP&lt;=$D$4,D46*CAP/$D$4,IF(CAP&gt;=$I$4,I46*CAP/$I$4,INDEX($D46:$I46,$D$3)+$E$3*(INDEX($D46:$I46,$D$3+1)-INDEX($D46:$I46,$D$3))))</f>
        <v/>
      </c>
      <c r="P46" s="39" t="inlineStr"/>
    </row>
    <row r="47">
      <c r="A47" s="30" t="n">
        <v>43</v>
      </c>
      <c r="B47" s="31" t="inlineStr">
        <is>
          <t>أخصائي غير طبيب</t>
        </is>
      </c>
      <c r="C47" s="5" t="inlineStr">
        <is>
          <t>أخصائي أول علاج طبيعي</t>
        </is>
      </c>
      <c r="D47" s="32" t="n">
        <v>2</v>
      </c>
      <c r="E47" s="32" t="n">
        <v>3</v>
      </c>
      <c r="F47" s="32" t="n">
        <v>4</v>
      </c>
      <c r="G47" s="32" t="n">
        <v>5</v>
      </c>
      <c r="H47" s="32" t="n">
        <v>8</v>
      </c>
      <c r="I47" s="32" t="n">
        <v>10</v>
      </c>
      <c r="J47" s="33">
        <f>IF(RMODE="تقريب لأعلى",ROUNDUP(O47,0),ROUND(O47,0))</f>
        <v/>
      </c>
      <c r="K47" s="34" t="n"/>
      <c r="L47" s="35">
        <f>K47-J47</f>
        <v/>
      </c>
      <c r="M47" s="36">
        <f>IF(J47=0,"",K47/J47)</f>
        <v/>
      </c>
      <c r="N47" s="37">
        <f>IF(J47=0,"لا ينطبق",IF(K47&gt;=J47,"مكتمل",IF(K47=0,"لا يوجد","عجز")))</f>
        <v/>
      </c>
      <c r="O47" s="38">
        <f>IF(CAP&lt;=$D$4,D47*CAP/$D$4,IF(CAP&gt;=$I$4,I47*CAP/$I$4,INDEX($D47:$I47,$D$3)+$E$3*(INDEX($D47:$I47,$D$3+1)-INDEX($D47:$I47,$D$3))))</f>
        <v/>
      </c>
      <c r="P47" s="39" t="inlineStr"/>
    </row>
    <row r="48">
      <c r="A48" s="30" t="n">
        <v>44</v>
      </c>
      <c r="B48" s="31" t="inlineStr">
        <is>
          <t>أخصائي غير طبيب</t>
        </is>
      </c>
      <c r="C48" s="5" t="inlineStr">
        <is>
          <t>أخصائي استشاري علاج طبيعي</t>
        </is>
      </c>
      <c r="D48" s="32" t="n">
        <v>1</v>
      </c>
      <c r="E48" s="32" t="n">
        <v>1</v>
      </c>
      <c r="F48" s="32" t="n">
        <v>2</v>
      </c>
      <c r="G48" s="32" t="n">
        <v>3</v>
      </c>
      <c r="H48" s="32" t="n">
        <v>4</v>
      </c>
      <c r="I48" s="32" t="n">
        <v>5</v>
      </c>
      <c r="J48" s="33">
        <f>IF(RMODE="تقريب لأعلى",ROUNDUP(O48,0),ROUND(O48,0))</f>
        <v/>
      </c>
      <c r="K48" s="34" t="n"/>
      <c r="L48" s="35">
        <f>K48-J48</f>
        <v/>
      </c>
      <c r="M48" s="36">
        <f>IF(J48=0,"",K48/J48)</f>
        <v/>
      </c>
      <c r="N48" s="37">
        <f>IF(J48=0,"لا ينطبق",IF(K48&gt;=J48,"مكتمل",IF(K48=0,"لا يوجد","عجز")))</f>
        <v/>
      </c>
      <c r="O48" s="38">
        <f>IF(CAP&lt;=$D$4,D48*CAP/$D$4,IF(CAP&gt;=$I$4,I48*CAP/$I$4,INDEX($D48:$I48,$D$3)+$E$3*(INDEX($D48:$I48,$D$3+1)-INDEX($D48:$I48,$D$3))))</f>
        <v/>
      </c>
      <c r="P48" s="39" t="inlineStr"/>
    </row>
    <row r="49">
      <c r="A49" s="30" t="n">
        <v>45</v>
      </c>
      <c r="B49" s="31" t="inlineStr">
        <is>
          <t>أخصائي غير طبيب</t>
        </is>
      </c>
      <c r="C49" s="5" t="inlineStr">
        <is>
          <t>أخصائي أول علاج وظيفي</t>
        </is>
      </c>
      <c r="D49" s="32" t="n">
        <v>0</v>
      </c>
      <c r="E49" s="32" t="n">
        <v>0</v>
      </c>
      <c r="F49" s="32" t="n">
        <v>1</v>
      </c>
      <c r="G49" s="32" t="n">
        <v>2</v>
      </c>
      <c r="H49" s="32" t="n">
        <v>3</v>
      </c>
      <c r="I49" s="32" t="n">
        <v>4</v>
      </c>
      <c r="J49" s="33">
        <f>IF(RMODE="تقريب لأعلى",ROUNDUP(O49,0),ROUND(O49,0))</f>
        <v/>
      </c>
      <c r="K49" s="34" t="n"/>
      <c r="L49" s="35">
        <f>K49-J49</f>
        <v/>
      </c>
      <c r="M49" s="36">
        <f>IF(J49=0,"",K49/J49)</f>
        <v/>
      </c>
      <c r="N49" s="37">
        <f>IF(J49=0,"لا ينطبق",IF(K49&gt;=J49,"مكتمل",IF(K49=0,"لا يوجد","عجز")))</f>
        <v/>
      </c>
      <c r="O49" s="38">
        <f>IF(CAP&lt;=$D$4,D49*CAP/$D$4,IF(CAP&gt;=$I$4,I49*CAP/$I$4,INDEX($D49:$I49,$D$3)+$E$3*(INDEX($D49:$I49,$D$3+1)-INDEX($D49:$I49,$D$3))))</f>
        <v/>
      </c>
      <c r="P49" s="39" t="inlineStr"/>
    </row>
    <row r="50">
      <c r="A50" s="30" t="n">
        <v>46</v>
      </c>
      <c r="B50" s="31" t="inlineStr">
        <is>
          <t>أخصائي غير طبيب</t>
        </is>
      </c>
      <c r="C50" s="5" t="inlineStr">
        <is>
          <t>أخصائي استشاري علاج وظيفي</t>
        </is>
      </c>
      <c r="D50" s="32" t="n">
        <v>0</v>
      </c>
      <c r="E50" s="32" t="n">
        <v>0</v>
      </c>
      <c r="F50" s="32" t="n">
        <v>0</v>
      </c>
      <c r="G50" s="32" t="n">
        <v>0</v>
      </c>
      <c r="H50" s="32" t="n">
        <v>1</v>
      </c>
      <c r="I50" s="32" t="n">
        <v>2</v>
      </c>
      <c r="J50" s="33">
        <f>IF(RMODE="تقريب لأعلى",ROUNDUP(O50,0),ROUND(O50,0))</f>
        <v/>
      </c>
      <c r="K50" s="34" t="n"/>
      <c r="L50" s="35">
        <f>K50-J50</f>
        <v/>
      </c>
      <c r="M50" s="36">
        <f>IF(J50=0,"",K50/J50)</f>
        <v/>
      </c>
      <c r="N50" s="37">
        <f>IF(J50=0,"لا ينطبق",IF(K50&gt;=J50,"مكتمل",IF(K50=0,"لا يوجد","عجز")))</f>
        <v/>
      </c>
      <c r="O50" s="38">
        <f>IF(CAP&lt;=$D$4,D50*CAP/$D$4,IF(CAP&gt;=$I$4,I50*CAP/$I$4,INDEX($D50:$I50,$D$3)+$E$3*(INDEX($D50:$I50,$D$3+1)-INDEX($D50:$I50,$D$3))))</f>
        <v/>
      </c>
      <c r="P50" s="39" t="inlineStr"/>
    </row>
    <row r="51">
      <c r="A51" s="30" t="n">
        <v>47</v>
      </c>
      <c r="B51" s="31" t="inlineStr">
        <is>
          <t>أخصائي غير طبيب</t>
        </is>
      </c>
      <c r="C51" s="5" t="inlineStr">
        <is>
          <t>أخصائي أول أطراف صناعية</t>
        </is>
      </c>
      <c r="D51" s="32" t="n">
        <v>0</v>
      </c>
      <c r="E51" s="32" t="n">
        <v>0</v>
      </c>
      <c r="F51" s="32" t="n">
        <v>0</v>
      </c>
      <c r="G51" s="32" t="n">
        <v>0</v>
      </c>
      <c r="H51" s="32" t="n">
        <v>1</v>
      </c>
      <c r="I51" s="32" t="n">
        <v>2</v>
      </c>
      <c r="J51" s="33">
        <f>IF(RMODE="تقريب لأعلى",ROUNDUP(O51,0),ROUND(O51,0))</f>
        <v/>
      </c>
      <c r="K51" s="34" t="n"/>
      <c r="L51" s="35">
        <f>K51-J51</f>
        <v/>
      </c>
      <c r="M51" s="36">
        <f>IF(J51=0,"",K51/J51)</f>
        <v/>
      </c>
      <c r="N51" s="37">
        <f>IF(J51=0,"لا ينطبق",IF(K51&gt;=J51,"مكتمل",IF(K51=0,"لا يوجد","عجز")))</f>
        <v/>
      </c>
      <c r="O51" s="38">
        <f>IF(CAP&lt;=$D$4,D51*CAP/$D$4,IF(CAP&gt;=$I$4,I51*CAP/$I$4,INDEX($D51:$I51,$D$3)+$E$3*(INDEX($D51:$I51,$D$3+1)-INDEX($D51:$I51,$D$3))))</f>
        <v/>
      </c>
      <c r="P51" s="39" t="inlineStr"/>
    </row>
    <row r="52">
      <c r="A52" s="30" t="n">
        <v>48</v>
      </c>
      <c r="B52" s="31" t="inlineStr">
        <is>
          <t>أخصائي غير طبيب</t>
        </is>
      </c>
      <c r="C52" s="5" t="inlineStr">
        <is>
          <t>أخصائي استشاري أطراف صناعية</t>
        </is>
      </c>
      <c r="D52" s="32" t="n">
        <v>0</v>
      </c>
      <c r="E52" s="32" t="n">
        <v>0</v>
      </c>
      <c r="F52" s="32" t="n">
        <v>0</v>
      </c>
      <c r="G52" s="32" t="n">
        <v>0</v>
      </c>
      <c r="H52" s="32" t="n">
        <v>0</v>
      </c>
      <c r="I52" s="32" t="n">
        <v>1</v>
      </c>
      <c r="J52" s="33">
        <f>IF(RMODE="تقريب لأعلى",ROUNDUP(O52,0),ROUND(O52,0))</f>
        <v/>
      </c>
      <c r="K52" s="34" t="n"/>
      <c r="L52" s="35">
        <f>K52-J52</f>
        <v/>
      </c>
      <c r="M52" s="36">
        <f>IF(J52=0,"",K52/J52)</f>
        <v/>
      </c>
      <c r="N52" s="37">
        <f>IF(J52=0,"لا ينطبق",IF(K52&gt;=J52,"مكتمل",IF(K52=0,"لا يوجد","عجز")))</f>
        <v/>
      </c>
      <c r="O52" s="38">
        <f>IF(CAP&lt;=$D$4,D52*CAP/$D$4,IF(CAP&gt;=$I$4,I52*CAP/$I$4,INDEX($D52:$I52,$D$3)+$E$3*(INDEX($D52:$I52,$D$3+1)-INDEX($D52:$I52,$D$3))))</f>
        <v/>
      </c>
      <c r="P52" s="39" t="inlineStr"/>
    </row>
    <row r="53">
      <c r="A53" s="30" t="n">
        <v>49</v>
      </c>
      <c r="B53" s="31" t="inlineStr">
        <is>
          <t>أخصائي غير طبيب</t>
        </is>
      </c>
      <c r="C53" s="5" t="inlineStr">
        <is>
          <t>أخصائي أول معالجة نطق (تخاطب)</t>
        </is>
      </c>
      <c r="D53" s="32" t="n">
        <v>0</v>
      </c>
      <c r="E53" s="32" t="n">
        <v>0</v>
      </c>
      <c r="F53" s="32" t="n">
        <v>0</v>
      </c>
      <c r="G53" s="32" t="n">
        <v>2</v>
      </c>
      <c r="H53" s="32" t="n">
        <v>2</v>
      </c>
      <c r="I53" s="32" t="n">
        <v>4</v>
      </c>
      <c r="J53" s="33">
        <f>IF(RMODE="تقريب لأعلى",ROUNDUP(O53,0),ROUND(O53,0))</f>
        <v/>
      </c>
      <c r="K53" s="34" t="n"/>
      <c r="L53" s="35">
        <f>K53-J53</f>
        <v/>
      </c>
      <c r="M53" s="36">
        <f>IF(J53=0,"",K53/J53)</f>
        <v/>
      </c>
      <c r="N53" s="37">
        <f>IF(J53=0,"لا ينطبق",IF(K53&gt;=J53,"مكتمل",IF(K53=0,"لا يوجد","عجز")))</f>
        <v/>
      </c>
      <c r="O53" s="38">
        <f>IF(CAP&lt;=$D$4,D53*CAP/$D$4,IF(CAP&gt;=$I$4,I53*CAP/$I$4,INDEX($D53:$I53,$D$3)+$E$3*(INDEX($D53:$I53,$D$3+1)-INDEX($D53:$I53,$D$3))))</f>
        <v/>
      </c>
      <c r="P53" s="39" t="inlineStr"/>
    </row>
    <row r="54">
      <c r="A54" s="30" t="n">
        <v>50</v>
      </c>
      <c r="B54" s="31" t="inlineStr">
        <is>
          <t>أخصائي غير طبيب</t>
        </is>
      </c>
      <c r="C54" s="5" t="inlineStr">
        <is>
          <t>أخصائي استشاري معالجة نطق (تخاطب)</t>
        </is>
      </c>
      <c r="D54" s="32" t="n">
        <v>0</v>
      </c>
      <c r="E54" s="32" t="n">
        <v>0</v>
      </c>
      <c r="F54" s="32" t="n">
        <v>0</v>
      </c>
      <c r="G54" s="32" t="n">
        <v>0</v>
      </c>
      <c r="H54" s="32" t="n">
        <v>1</v>
      </c>
      <c r="I54" s="32" t="n">
        <v>2</v>
      </c>
      <c r="J54" s="33">
        <f>IF(RMODE="تقريب لأعلى",ROUNDUP(O54,0),ROUND(O54,0))</f>
        <v/>
      </c>
      <c r="K54" s="34" t="n"/>
      <c r="L54" s="35">
        <f>K54-J54</f>
        <v/>
      </c>
      <c r="M54" s="36">
        <f>IF(J54=0,"",K54/J54)</f>
        <v/>
      </c>
      <c r="N54" s="37">
        <f>IF(J54=0,"لا ينطبق",IF(K54&gt;=J54,"مكتمل",IF(K54=0,"لا يوجد","عجز")))</f>
        <v/>
      </c>
      <c r="O54" s="38">
        <f>IF(CAP&lt;=$D$4,D54*CAP/$D$4,IF(CAP&gt;=$I$4,I54*CAP/$I$4,INDEX($D54:$I54,$D$3)+$E$3*(INDEX($D54:$I54,$D$3+1)-INDEX($D54:$I54,$D$3))))</f>
        <v/>
      </c>
      <c r="P54" s="39" t="inlineStr"/>
    </row>
    <row r="55">
      <c r="A55" s="30" t="n">
        <v>51</v>
      </c>
      <c r="B55" s="31" t="inlineStr">
        <is>
          <t>أخصائي غير طبيب</t>
        </is>
      </c>
      <c r="C55" s="5" t="inlineStr">
        <is>
          <t>أخصائي أول أشعة</t>
        </is>
      </c>
      <c r="D55" s="32" t="n">
        <v>4</v>
      </c>
      <c r="E55" s="32" t="n">
        <v>5</v>
      </c>
      <c r="F55" s="32" t="n">
        <v>5</v>
      </c>
      <c r="G55" s="32" t="n">
        <v>7</v>
      </c>
      <c r="H55" s="32" t="n">
        <v>12</v>
      </c>
      <c r="I55" s="32" t="n">
        <v>14</v>
      </c>
      <c r="J55" s="33">
        <f>IF(RMODE="تقريب لأعلى",ROUNDUP(O55,0),ROUND(O55,0))</f>
        <v/>
      </c>
      <c r="K55" s="34" t="n"/>
      <c r="L55" s="35">
        <f>K55-J55</f>
        <v/>
      </c>
      <c r="M55" s="36">
        <f>IF(J55=0,"",K55/J55)</f>
        <v/>
      </c>
      <c r="N55" s="37">
        <f>IF(J55=0,"لا ينطبق",IF(K55&gt;=J55,"مكتمل",IF(K55=0,"لا يوجد","عجز")))</f>
        <v/>
      </c>
      <c r="O55" s="38">
        <f>IF(CAP&lt;=$D$4,D55*CAP/$D$4,IF(CAP&gt;=$I$4,I55*CAP/$I$4,INDEX($D55:$I55,$D$3)+$E$3*(INDEX($D55:$I55,$D$3+1)-INDEX($D55:$I55,$D$3))))</f>
        <v/>
      </c>
      <c r="P55" s="39" t="inlineStr"/>
    </row>
    <row r="56">
      <c r="A56" s="30" t="n">
        <v>52</v>
      </c>
      <c r="B56" s="31" t="inlineStr">
        <is>
          <t>أخصائي غير طبيب</t>
        </is>
      </c>
      <c r="C56" s="5" t="inlineStr">
        <is>
          <t>أخصائي استشاري أشعة</t>
        </is>
      </c>
      <c r="D56" s="32" t="n">
        <v>0</v>
      </c>
      <c r="E56" s="32" t="n">
        <v>1</v>
      </c>
      <c r="F56" s="32" t="n">
        <v>2</v>
      </c>
      <c r="G56" s="32" t="n">
        <v>3</v>
      </c>
      <c r="H56" s="32" t="n">
        <v>8</v>
      </c>
      <c r="I56" s="32" t="n">
        <v>10</v>
      </c>
      <c r="J56" s="33">
        <f>IF(RMODE="تقريب لأعلى",ROUNDUP(O56,0),ROUND(O56,0))</f>
        <v/>
      </c>
      <c r="K56" s="34" t="n"/>
      <c r="L56" s="35">
        <f>K56-J56</f>
        <v/>
      </c>
      <c r="M56" s="36">
        <f>IF(J56=0,"",K56/J56)</f>
        <v/>
      </c>
      <c r="N56" s="37">
        <f>IF(J56=0,"لا ينطبق",IF(K56&gt;=J56,"مكتمل",IF(K56=0,"لا يوجد","عجز")))</f>
        <v/>
      </c>
      <c r="O56" s="38">
        <f>IF(CAP&lt;=$D$4,D56*CAP/$D$4,IF(CAP&gt;=$I$4,I56*CAP/$I$4,INDEX($D56:$I56,$D$3)+$E$3*(INDEX($D56:$I56,$D$3+1)-INDEX($D56:$I56,$D$3))))</f>
        <v/>
      </c>
      <c r="P56" s="39" t="inlineStr"/>
    </row>
    <row r="57">
      <c r="A57" s="30" t="n">
        <v>53</v>
      </c>
      <c r="B57" s="31" t="inlineStr">
        <is>
          <t>أخصائي غير طبيب</t>
        </is>
      </c>
      <c r="C57" s="5" t="inlineStr">
        <is>
          <t>أخصائي استشاري فيزياء طبية</t>
        </is>
      </c>
      <c r="D57" s="32" t="n">
        <v>0</v>
      </c>
      <c r="E57" s="32" t="n">
        <v>0</v>
      </c>
      <c r="F57" s="32" t="n">
        <v>1</v>
      </c>
      <c r="G57" s="32" t="n">
        <v>1</v>
      </c>
      <c r="H57" s="32" t="n">
        <v>2</v>
      </c>
      <c r="I57" s="32" t="n">
        <v>2</v>
      </c>
      <c r="J57" s="33">
        <f>IF(RMODE="تقريب لأعلى",ROUNDUP(O57,0),ROUND(O57,0))</f>
        <v/>
      </c>
      <c r="K57" s="34" t="n"/>
      <c r="L57" s="35">
        <f>K57-J57</f>
        <v/>
      </c>
      <c r="M57" s="36">
        <f>IF(J57=0,"",K57/J57)</f>
        <v/>
      </c>
      <c r="N57" s="37">
        <f>IF(J57=0,"لا ينطبق",IF(K57&gt;=J57,"مكتمل",IF(K57=0,"لا يوجد","عجز")))</f>
        <v/>
      </c>
      <c r="O57" s="38">
        <f>IF(CAP&lt;=$D$4,D57*CAP/$D$4,IF(CAP&gt;=$I$4,I57*CAP/$I$4,INDEX($D57:$I57,$D$3)+$E$3*(INDEX($D57:$I57,$D$3+1)-INDEX($D57:$I57,$D$3))))</f>
        <v/>
      </c>
      <c r="P57" s="39" t="inlineStr"/>
    </row>
    <row r="58">
      <c r="A58" s="30" t="n">
        <v>54</v>
      </c>
      <c r="B58" s="31" t="inlineStr">
        <is>
          <t>أخصائي غير طبيب</t>
        </is>
      </c>
      <c r="C58" s="5" t="inlineStr">
        <is>
          <t>أخصائي أول فيزياء طبية</t>
        </is>
      </c>
      <c r="D58" s="32" t="n">
        <v>0</v>
      </c>
      <c r="E58" s="32" t="n">
        <v>1</v>
      </c>
      <c r="F58" s="32" t="n">
        <v>1</v>
      </c>
      <c r="G58" s="32" t="n">
        <v>1</v>
      </c>
      <c r="H58" s="32" t="n">
        <v>2</v>
      </c>
      <c r="I58" s="32" t="n">
        <v>2</v>
      </c>
      <c r="J58" s="33">
        <f>IF(RMODE="تقريب لأعلى",ROUNDUP(O58,0),ROUND(O58,0))</f>
        <v/>
      </c>
      <c r="K58" s="34" t="n"/>
      <c r="L58" s="35">
        <f>K58-J58</f>
        <v/>
      </c>
      <c r="M58" s="36">
        <f>IF(J58=0,"",K58/J58)</f>
        <v/>
      </c>
      <c r="N58" s="37">
        <f>IF(J58=0,"لا ينطبق",IF(K58&gt;=J58,"مكتمل",IF(K58=0,"لا يوجد","عجز")))</f>
        <v/>
      </c>
      <c r="O58" s="38">
        <f>IF(CAP&lt;=$D$4,D58*CAP/$D$4,IF(CAP&gt;=$I$4,I58*CAP/$I$4,INDEX($D58:$I58,$D$3)+$E$3*(INDEX($D58:$I58,$D$3+1)-INDEX($D58:$I58,$D$3))))</f>
        <v/>
      </c>
      <c r="P58" s="39" t="inlineStr"/>
    </row>
    <row r="59">
      <c r="A59" s="30" t="n">
        <v>55</v>
      </c>
      <c r="B59" s="31" t="inlineStr">
        <is>
          <t>قبالة</t>
        </is>
      </c>
      <c r="C59" s="5" t="inlineStr">
        <is>
          <t>أخصائي أول قبالة 10%</t>
        </is>
      </c>
      <c r="D59" s="32" t="n">
        <v>3</v>
      </c>
      <c r="E59" s="32" t="n">
        <v>4</v>
      </c>
      <c r="F59" s="32" t="n">
        <v>5</v>
      </c>
      <c r="G59" s="32" t="n">
        <v>8</v>
      </c>
      <c r="H59" s="32" t="n">
        <v>10</v>
      </c>
      <c r="I59" s="32" t="n">
        <v>13</v>
      </c>
      <c r="J59" s="33">
        <f>IF(RMODE="تقريب لأعلى",ROUNDUP(O59,0),ROUND(O59,0))</f>
        <v/>
      </c>
      <c r="K59" s="34" t="n"/>
      <c r="L59" s="35">
        <f>K59-J59</f>
        <v/>
      </c>
      <c r="M59" s="36">
        <f>IF(J59=0,"",K59/J59)</f>
        <v/>
      </c>
      <c r="N59" s="37">
        <f>IF(J59=0,"لا ينطبق",IF(K59&gt;=J59,"مكتمل",IF(K59=0,"لا يوجد","عجز")))</f>
        <v/>
      </c>
      <c r="O59" s="38">
        <f>IF(CAP&lt;=$D$4,D59*CAP/$D$4,IF(CAP&gt;=$I$4,I59*CAP/$I$4,INDEX($D59:$I59,$D$3)+$E$3*(INDEX($D59:$I59,$D$3+1)-INDEX($D59:$I59,$D$3))))</f>
        <v/>
      </c>
      <c r="P59" s="39" t="inlineStr">
        <is>
          <t>إيضاح 10</t>
        </is>
      </c>
    </row>
    <row r="60">
      <c r="A60" s="30" t="n">
        <v>56</v>
      </c>
      <c r="B60" s="31" t="inlineStr">
        <is>
          <t>قبالة</t>
        </is>
      </c>
      <c r="C60" s="5" t="inlineStr">
        <is>
          <t>استشاري قبالة 1%</t>
        </is>
      </c>
      <c r="D60" s="32" t="n">
        <v>0</v>
      </c>
      <c r="E60" s="32" t="n">
        <v>0</v>
      </c>
      <c r="F60" s="32" t="n">
        <v>0</v>
      </c>
      <c r="G60" s="32" t="n">
        <v>1</v>
      </c>
      <c r="H60" s="32" t="n">
        <v>1</v>
      </c>
      <c r="I60" s="32" t="n">
        <v>1</v>
      </c>
      <c r="J60" s="33">
        <f>IF(RMODE="تقريب لأعلى",ROUNDUP(O60,0),ROUND(O60,0))</f>
        <v/>
      </c>
      <c r="K60" s="34" t="n"/>
      <c r="L60" s="35">
        <f>K60-J60</f>
        <v/>
      </c>
      <c r="M60" s="36">
        <f>IF(J60=0,"",K60/J60)</f>
        <v/>
      </c>
      <c r="N60" s="37">
        <f>IF(J60=0,"لا ينطبق",IF(K60&gt;=J60,"مكتمل",IF(K60=0,"لا يوجد","عجز")))</f>
        <v/>
      </c>
      <c r="O60" s="38">
        <f>IF(CAP&lt;=$D$4,D60*CAP/$D$4,IF(CAP&gt;=$I$4,I60*CAP/$I$4,INDEX($D60:$I60,$D$3)+$E$3*(INDEX($D60:$I60,$D$3+1)-INDEX($D60:$I60,$D$3))))</f>
        <v/>
      </c>
      <c r="P60" s="39" t="inlineStr">
        <is>
          <t>إيضاح 10</t>
        </is>
      </c>
    </row>
    <row r="61">
      <c r="A61" s="30" t="n">
        <v>57</v>
      </c>
      <c r="B61" s="31" t="inlineStr">
        <is>
          <t>أخصائي غير طبيب</t>
        </is>
      </c>
      <c r="C61" s="5" t="inlineStr">
        <is>
          <t>أخصائي مختبر أجنة</t>
        </is>
      </c>
      <c r="D61" s="32" t="n">
        <v>0</v>
      </c>
      <c r="E61" s="32" t="n">
        <v>0</v>
      </c>
      <c r="F61" s="32" t="n">
        <v>1</v>
      </c>
      <c r="G61" s="32" t="n">
        <v>1</v>
      </c>
      <c r="H61" s="32" t="n">
        <v>2</v>
      </c>
      <c r="I61" s="32" t="n">
        <v>3</v>
      </c>
      <c r="J61" s="33">
        <f>IF(RMODE="تقريب لأعلى",ROUNDUP(O61,0),ROUND(O61,0))</f>
        <v/>
      </c>
      <c r="K61" s="34" t="n"/>
      <c r="L61" s="35">
        <f>K61-J61</f>
        <v/>
      </c>
      <c r="M61" s="36">
        <f>IF(J61=0,"",K61/J61)</f>
        <v/>
      </c>
      <c r="N61" s="37">
        <f>IF(J61=0,"لا ينطبق",IF(K61&gt;=J61,"مكتمل",IF(K61=0,"لا يوجد","عجز")))</f>
        <v/>
      </c>
      <c r="O61" s="38">
        <f>IF(CAP&lt;=$D$4,D61*CAP/$D$4,IF(CAP&gt;=$I$4,I61*CAP/$I$4,INDEX($D61:$I61,$D$3)+$E$3*(INDEX($D61:$I61,$D$3+1)-INDEX($D61:$I61,$D$3))))</f>
        <v/>
      </c>
      <c r="P61" s="39" t="inlineStr"/>
    </row>
    <row r="62">
      <c r="A62" s="30" t="n">
        <v>58</v>
      </c>
      <c r="B62" s="31" t="inlineStr">
        <is>
          <t>أخصائي غير طبيب</t>
        </is>
      </c>
      <c r="C62" s="5" t="inlineStr">
        <is>
          <t>أخصائي أول مختبر وبنك دم</t>
        </is>
      </c>
      <c r="D62" s="32" t="n">
        <v>5</v>
      </c>
      <c r="E62" s="32" t="n">
        <v>6</v>
      </c>
      <c r="F62" s="32" t="n">
        <v>8</v>
      </c>
      <c r="G62" s="32" t="n">
        <v>10</v>
      </c>
      <c r="H62" s="32" t="n">
        <v>10</v>
      </c>
      <c r="I62" s="32" t="n">
        <v>15</v>
      </c>
      <c r="J62" s="33">
        <f>IF(RMODE="تقريب لأعلى",ROUNDUP(O62,0),ROUND(O62,0))</f>
        <v/>
      </c>
      <c r="K62" s="34" t="n"/>
      <c r="L62" s="35">
        <f>K62-J62</f>
        <v/>
      </c>
      <c r="M62" s="36">
        <f>IF(J62=0,"",K62/J62)</f>
        <v/>
      </c>
      <c r="N62" s="37">
        <f>IF(J62=0,"لا ينطبق",IF(K62&gt;=J62,"مكتمل",IF(K62=0,"لا يوجد","عجز")))</f>
        <v/>
      </c>
      <c r="O62" s="38">
        <f>IF(CAP&lt;=$D$4,D62*CAP/$D$4,IF(CAP&gt;=$I$4,I62*CAP/$I$4,INDEX($D62:$I62,$D$3)+$E$3*(INDEX($D62:$I62,$D$3+1)-INDEX($D62:$I62,$D$3))))</f>
        <v/>
      </c>
      <c r="P62" s="39" t="inlineStr"/>
    </row>
    <row r="63">
      <c r="A63" s="30" t="n">
        <v>59</v>
      </c>
      <c r="B63" s="31" t="inlineStr">
        <is>
          <t>أخصائي غير طبيب</t>
        </is>
      </c>
      <c r="C63" s="5" t="inlineStr">
        <is>
          <t>أخصائي استشاري مختبر وبنك دم</t>
        </is>
      </c>
      <c r="D63" s="32" t="n">
        <v>1</v>
      </c>
      <c r="E63" s="32" t="n">
        <v>1</v>
      </c>
      <c r="F63" s="32" t="n">
        <v>2</v>
      </c>
      <c r="G63" s="32" t="n">
        <v>3</v>
      </c>
      <c r="H63" s="32" t="n">
        <v>5</v>
      </c>
      <c r="I63" s="32" t="n">
        <v>10</v>
      </c>
      <c r="J63" s="33">
        <f>IF(RMODE="تقريب لأعلى",ROUNDUP(O63,0),ROUND(O63,0))</f>
        <v/>
      </c>
      <c r="K63" s="34" t="n"/>
      <c r="L63" s="35">
        <f>K63-J63</f>
        <v/>
      </c>
      <c r="M63" s="36">
        <f>IF(J63=0,"",K63/J63)</f>
        <v/>
      </c>
      <c r="N63" s="37">
        <f>IF(J63=0,"لا ينطبق",IF(K63&gt;=J63,"مكتمل",IF(K63=0,"لا يوجد","عجز")))</f>
        <v/>
      </c>
      <c r="O63" s="38">
        <f>IF(CAP&lt;=$D$4,D63*CAP/$D$4,IF(CAP&gt;=$I$4,I63*CAP/$I$4,INDEX($D63:$I63,$D$3)+$E$3*(INDEX($D63:$I63,$D$3+1)-INDEX($D63:$I63,$D$3))))</f>
        <v/>
      </c>
      <c r="P63" s="39" t="inlineStr"/>
    </row>
    <row r="64">
      <c r="A64" s="30" t="n">
        <v>60</v>
      </c>
      <c r="B64" s="31" t="inlineStr">
        <is>
          <t>أخصائي غير طبيب</t>
        </is>
      </c>
      <c r="C64" s="5" t="inlineStr">
        <is>
          <t>أخصائي مسالك بولية (غير طبيب)</t>
        </is>
      </c>
      <c r="D64" s="32" t="n">
        <v>0</v>
      </c>
      <c r="E64" s="32" t="n">
        <v>0</v>
      </c>
      <c r="F64" s="32" t="n">
        <v>1</v>
      </c>
      <c r="G64" s="32" t="n">
        <v>1</v>
      </c>
      <c r="H64" s="32" t="n">
        <v>1</v>
      </c>
      <c r="I64" s="32" t="n">
        <v>2</v>
      </c>
      <c r="J64" s="33">
        <f>IF(RMODE="تقريب لأعلى",ROUNDUP(O64,0),ROUND(O64,0))</f>
        <v/>
      </c>
      <c r="K64" s="34" t="n"/>
      <c r="L64" s="35">
        <f>K64-J64</f>
        <v/>
      </c>
      <c r="M64" s="36">
        <f>IF(J64=0,"",K64/J64)</f>
        <v/>
      </c>
      <c r="N64" s="37">
        <f>IF(J64=0,"لا ينطبق",IF(K64&gt;=J64,"مكتمل",IF(K64=0,"لا يوجد","عجز")))</f>
        <v/>
      </c>
      <c r="O64" s="38">
        <f>IF(CAP&lt;=$D$4,D64*CAP/$D$4,IF(CAP&gt;=$I$4,I64*CAP/$I$4,INDEX($D64:$I64,$D$3)+$E$3*(INDEX($D64:$I64,$D$3+1)-INDEX($D64:$I64,$D$3))))</f>
        <v/>
      </c>
      <c r="P64" s="39" t="inlineStr"/>
    </row>
    <row r="65">
      <c r="A65" s="30" t="n">
        <v>61</v>
      </c>
      <c r="B65" s="31" t="inlineStr">
        <is>
          <t>أخصائي غير طبيب</t>
        </is>
      </c>
      <c r="C65" s="5" t="inlineStr">
        <is>
          <t>أخصائي تجربة المريض</t>
        </is>
      </c>
      <c r="D65" s="32" t="n">
        <v>2</v>
      </c>
      <c r="E65" s="32" t="n">
        <v>4</v>
      </c>
      <c r="F65" s="32" t="n">
        <v>5</v>
      </c>
      <c r="G65" s="32" t="n">
        <v>7</v>
      </c>
      <c r="H65" s="32" t="n">
        <v>9</v>
      </c>
      <c r="I65" s="32" t="n">
        <v>10</v>
      </c>
      <c r="J65" s="33">
        <f>IF(RMODE="تقريب لأعلى",ROUNDUP(O65,0),ROUND(O65,0))</f>
        <v/>
      </c>
      <c r="K65" s="34" t="n"/>
      <c r="L65" s="35">
        <f>K65-J65</f>
        <v/>
      </c>
      <c r="M65" s="36">
        <f>IF(J65=0,"",K65/J65)</f>
        <v/>
      </c>
      <c r="N65" s="37">
        <f>IF(J65=0,"لا ينطبق",IF(K65&gt;=J65,"مكتمل",IF(K65=0,"لا يوجد","عجز")))</f>
        <v/>
      </c>
      <c r="O65" s="38">
        <f>IF(CAP&lt;=$D$4,D65*CAP/$D$4,IF(CAP&gt;=$I$4,I65*CAP/$I$4,INDEX($D65:$I65,$D$3)+$E$3*(INDEX($D65:$I65,$D$3+1)-INDEX($D65:$I65,$D$3))))</f>
        <v/>
      </c>
      <c r="P65" s="39" t="inlineStr"/>
    </row>
    <row r="66">
      <c r="A66" s="30" t="n">
        <v>62</v>
      </c>
      <c r="B66" s="31" t="inlineStr">
        <is>
          <t>أخصائي غير طبيب</t>
        </is>
      </c>
      <c r="C66" s="5" t="inlineStr">
        <is>
          <t>أخصائي استشاري وراثي</t>
        </is>
      </c>
      <c r="D66" s="32" t="n">
        <v>0</v>
      </c>
      <c r="E66" s="32" t="n">
        <v>1</v>
      </c>
      <c r="F66" s="32" t="n">
        <v>1</v>
      </c>
      <c r="G66" s="32" t="n">
        <v>2</v>
      </c>
      <c r="H66" s="32" t="n">
        <v>2</v>
      </c>
      <c r="I66" s="32" t="n">
        <v>2</v>
      </c>
      <c r="J66" s="33">
        <f>IF(RMODE="تقريب لأعلى",ROUNDUP(O66,0),ROUND(O66,0))</f>
        <v/>
      </c>
      <c r="K66" s="34" t="n"/>
      <c r="L66" s="35">
        <f>K66-J66</f>
        <v/>
      </c>
      <c r="M66" s="36">
        <f>IF(J66=0,"",K66/J66)</f>
        <v/>
      </c>
      <c r="N66" s="37">
        <f>IF(J66=0,"لا ينطبق",IF(K66&gt;=J66,"مكتمل",IF(K66=0,"لا يوجد","عجز")))</f>
        <v/>
      </c>
      <c r="O66" s="38">
        <f>IF(CAP&lt;=$D$4,D66*CAP/$D$4,IF(CAP&gt;=$I$4,I66*CAP/$I$4,INDEX($D66:$I66,$D$3)+$E$3*(INDEX($D66:$I66,$D$3+1)-INDEX($D66:$I66,$D$3))))</f>
        <v/>
      </c>
      <c r="P66" s="39" t="inlineStr"/>
    </row>
    <row r="67">
      <c r="A67" s="30" t="n">
        <v>63</v>
      </c>
      <c r="B67" s="31" t="inlineStr">
        <is>
          <t>تمريض</t>
        </is>
      </c>
      <c r="C67" s="5" t="inlineStr">
        <is>
          <t>أخصائي أول تمريض 10%</t>
        </is>
      </c>
      <c r="D67" s="32" t="n">
        <v>20</v>
      </c>
      <c r="E67" s="32" t="n">
        <v>37</v>
      </c>
      <c r="F67" s="32" t="n">
        <v>54</v>
      </c>
      <c r="G67" s="32" t="n">
        <v>81</v>
      </c>
      <c r="H67" s="32" t="n">
        <v>108</v>
      </c>
      <c r="I67" s="32" t="n">
        <v>142</v>
      </c>
      <c r="J67" s="33">
        <f>IF(RMODE="تقريب لأعلى",ROUNDUP(O67,0),ROUND(O67,0))</f>
        <v/>
      </c>
      <c r="K67" s="34" t="n"/>
      <c r="L67" s="35">
        <f>K67-J67</f>
        <v/>
      </c>
      <c r="M67" s="36">
        <f>IF(J67=0,"",K67/J67)</f>
        <v/>
      </c>
      <c r="N67" s="37">
        <f>IF(J67=0,"لا ينطبق",IF(K67&gt;=J67,"مكتمل",IF(K67=0,"لا يوجد","عجز")))</f>
        <v/>
      </c>
      <c r="O67" s="38">
        <f>IF(CAP&lt;=$D$4,D67*CAP/$D$4,IF(CAP&gt;=$I$4,I67*CAP/$I$4,INDEX($D67:$I67,$D$3)+$E$3*(INDEX($D67:$I67,$D$3+1)-INDEX($D67:$I67,$D$3))))</f>
        <v/>
      </c>
      <c r="P67" s="39" t="inlineStr">
        <is>
          <t>إيضاح 30</t>
        </is>
      </c>
    </row>
    <row r="68">
      <c r="A68" s="30" t="n">
        <v>64</v>
      </c>
      <c r="B68" s="31" t="inlineStr">
        <is>
          <t>تمريض</t>
        </is>
      </c>
      <c r="C68" s="5" t="inlineStr">
        <is>
          <t>استشاري تمريض 0.5%</t>
        </is>
      </c>
      <c r="D68" s="32" t="n">
        <v>0</v>
      </c>
      <c r="E68" s="32" t="n">
        <v>0</v>
      </c>
      <c r="F68" s="32" t="n">
        <v>0</v>
      </c>
      <c r="G68" s="32" t="n">
        <v>4</v>
      </c>
      <c r="H68" s="32" t="n">
        <v>5</v>
      </c>
      <c r="I68" s="32" t="n">
        <v>7</v>
      </c>
      <c r="J68" s="33">
        <f>IF(RMODE="تقريب لأعلى",ROUNDUP(O68,0),ROUND(O68,0))</f>
        <v/>
      </c>
      <c r="K68" s="34" t="n"/>
      <c r="L68" s="35">
        <f>K68-J68</f>
        <v/>
      </c>
      <c r="M68" s="36">
        <f>IF(J68=0,"",K68/J68)</f>
        <v/>
      </c>
      <c r="N68" s="37">
        <f>IF(J68=0,"لا ينطبق",IF(K68&gt;=J68,"مكتمل",IF(K68=0,"لا يوجد","عجز")))</f>
        <v/>
      </c>
      <c r="O68" s="38">
        <f>IF(CAP&lt;=$D$4,D68*CAP/$D$4,IF(CAP&gt;=$I$4,I68*CAP/$I$4,INDEX($D68:$I68,$D$3)+$E$3*(INDEX($D68:$I68,$D$3+1)-INDEX($D68:$I68,$D$3))))</f>
        <v/>
      </c>
      <c r="P68" s="39" t="inlineStr">
        <is>
          <t>إيضاح 30: تبدأ من 300 سرير</t>
        </is>
      </c>
    </row>
    <row r="69">
      <c r="A69" s="30" t="n">
        <v>65</v>
      </c>
      <c r="B69" s="31" t="inlineStr">
        <is>
          <t>أخصائي غير طبيب</t>
        </is>
      </c>
      <c r="C69" s="5" t="inlineStr">
        <is>
          <t>استشاري علاج تنفسي</t>
        </is>
      </c>
      <c r="D69" s="32" t="n">
        <v>1</v>
      </c>
      <c r="E69" s="32" t="n">
        <v>2</v>
      </c>
      <c r="F69" s="32" t="n">
        <v>2</v>
      </c>
      <c r="G69" s="32" t="n">
        <v>2</v>
      </c>
      <c r="H69" s="32" t="n">
        <v>3</v>
      </c>
      <c r="I69" s="32" t="n">
        <v>5</v>
      </c>
      <c r="J69" s="33">
        <f>IF(RMODE="تقريب لأعلى",ROUNDUP(O69,0),ROUND(O69,0))</f>
        <v/>
      </c>
      <c r="K69" s="34" t="n"/>
      <c r="L69" s="35">
        <f>K69-J69</f>
        <v/>
      </c>
      <c r="M69" s="36">
        <f>IF(J69=0,"",K69/J69)</f>
        <v/>
      </c>
      <c r="N69" s="37">
        <f>IF(J69=0,"لا ينطبق",IF(K69&gt;=J69,"مكتمل",IF(K69=0,"لا يوجد","عجز")))</f>
        <v/>
      </c>
      <c r="O69" s="38">
        <f>IF(CAP&lt;=$D$4,D69*CAP/$D$4,IF(CAP&gt;=$I$4,I69*CAP/$I$4,INDEX($D69:$I69,$D$3)+$E$3*(INDEX($D69:$I69,$D$3+1)-INDEX($D69:$I69,$D$3))))</f>
        <v/>
      </c>
      <c r="P69" s="39" t="inlineStr">
        <is>
          <t>إيضاحات 22-25</t>
        </is>
      </c>
    </row>
    <row r="70">
      <c r="A70" s="30" t="n">
        <v>66</v>
      </c>
      <c r="B70" s="31" t="inlineStr">
        <is>
          <t>أخصائي غير طبيب</t>
        </is>
      </c>
      <c r="C70" s="5" t="inlineStr">
        <is>
          <t>أخصائي أول علاج تنفسي</t>
        </is>
      </c>
      <c r="D70" s="32" t="n">
        <v>4</v>
      </c>
      <c r="E70" s="32" t="n">
        <v>6</v>
      </c>
      <c r="F70" s="32" t="n">
        <v>8</v>
      </c>
      <c r="G70" s="32" t="n">
        <v>8</v>
      </c>
      <c r="H70" s="32" t="n">
        <v>10</v>
      </c>
      <c r="I70" s="32" t="n">
        <v>14</v>
      </c>
      <c r="J70" s="33">
        <f>IF(RMODE="تقريب لأعلى",ROUNDUP(O70,0),ROUND(O70,0))</f>
        <v/>
      </c>
      <c r="K70" s="34" t="n"/>
      <c r="L70" s="35">
        <f>K70-J70</f>
        <v/>
      </c>
      <c r="M70" s="36">
        <f>IF(J70=0,"",K70/J70)</f>
        <v/>
      </c>
      <c r="N70" s="37">
        <f>IF(J70=0,"لا ينطبق",IF(K70&gt;=J70,"مكتمل",IF(K70=0,"لا يوجد","عجز")))</f>
        <v/>
      </c>
      <c r="O70" s="38">
        <f>IF(CAP&lt;=$D$4,D70*CAP/$D$4,IF(CAP&gt;=$I$4,I70*CAP/$I$4,INDEX($D70:$I70,$D$3)+$E$3*(INDEX($D70:$I70,$D$3+1)-INDEX($D70:$I70,$D$3))))</f>
        <v/>
      </c>
      <c r="P70" s="39" t="inlineStr">
        <is>
          <t>إيضاحات 22-25</t>
        </is>
      </c>
    </row>
    <row r="71">
      <c r="A71" s="30" t="n">
        <v>67</v>
      </c>
      <c r="B71" s="31" t="inlineStr">
        <is>
          <t>أخصائي غير طبيب</t>
        </is>
      </c>
      <c r="C71" s="5" t="inlineStr">
        <is>
          <t>أخصائي أول بصريات</t>
        </is>
      </c>
      <c r="D71" s="32" t="n">
        <v>1</v>
      </c>
      <c r="E71" s="32" t="n">
        <v>1</v>
      </c>
      <c r="F71" s="32" t="n">
        <v>2</v>
      </c>
      <c r="G71" s="32" t="n">
        <v>3</v>
      </c>
      <c r="H71" s="32" t="n">
        <v>3</v>
      </c>
      <c r="I71" s="32" t="n">
        <v>4</v>
      </c>
      <c r="J71" s="33">
        <f>IF(RMODE="تقريب لأعلى",ROUNDUP(O71,0),ROUND(O71,0))</f>
        <v/>
      </c>
      <c r="K71" s="34" t="n"/>
      <c r="L71" s="35">
        <f>K71-J71</f>
        <v/>
      </c>
      <c r="M71" s="36">
        <f>IF(J71=0,"",K71/J71)</f>
        <v/>
      </c>
      <c r="N71" s="37">
        <f>IF(J71=0,"لا ينطبق",IF(K71&gt;=J71,"مكتمل",IF(K71=0,"لا يوجد","عجز")))</f>
        <v/>
      </c>
      <c r="O71" s="38">
        <f>IF(CAP&lt;=$D$4,D71*CAP/$D$4,IF(CAP&gt;=$I$4,I71*CAP/$I$4,INDEX($D71:$I71,$D$3)+$E$3*(INDEX($D71:$I71,$D$3+1)-INDEX($D71:$I71,$D$3))))</f>
        <v/>
      </c>
      <c r="P71" s="39" t="inlineStr"/>
    </row>
    <row r="72">
      <c r="A72" s="30" t="n">
        <v>68</v>
      </c>
      <c r="B72" s="31" t="inlineStr">
        <is>
          <t>أخصائي غير طبيب</t>
        </is>
      </c>
      <c r="C72" s="5" t="inlineStr">
        <is>
          <t>استشاري بصريات</t>
        </is>
      </c>
      <c r="D72" s="32" t="n">
        <v>0</v>
      </c>
      <c r="E72" s="32" t="n">
        <v>0</v>
      </c>
      <c r="F72" s="32" t="n">
        <v>1</v>
      </c>
      <c r="G72" s="32" t="n">
        <v>1</v>
      </c>
      <c r="H72" s="32" t="n">
        <v>2</v>
      </c>
      <c r="I72" s="32" t="n">
        <v>2</v>
      </c>
      <c r="J72" s="33">
        <f>IF(RMODE="تقريب لأعلى",ROUNDUP(O72,0),ROUND(O72,0))</f>
        <v/>
      </c>
      <c r="K72" s="34" t="n"/>
      <c r="L72" s="35">
        <f>K72-J72</f>
        <v/>
      </c>
      <c r="M72" s="36">
        <f>IF(J72=0,"",K72/J72)</f>
        <v/>
      </c>
      <c r="N72" s="37">
        <f>IF(J72=0,"لا ينطبق",IF(K72&gt;=J72,"مكتمل",IF(K72=0,"لا يوجد","عجز")))</f>
        <v/>
      </c>
      <c r="O72" s="38">
        <f>IF(CAP&lt;=$D$4,D72*CAP/$D$4,IF(CAP&gt;=$I$4,I72*CAP/$I$4,INDEX($D72:$I72,$D$3)+$E$3*(INDEX($D72:$I72,$D$3+1)-INDEX($D72:$I72,$D$3))))</f>
        <v/>
      </c>
      <c r="P72" s="39" t="inlineStr"/>
    </row>
    <row r="73">
      <c r="A73" s="30" t="n">
        <v>69</v>
      </c>
      <c r="B73" s="31" t="inlineStr">
        <is>
          <t>أخصائي غير طبيب</t>
        </is>
      </c>
      <c r="C73" s="5" t="inlineStr">
        <is>
          <t>أخصائي علم الوراثة والجزيئات الحيوية (غير طبيب)</t>
        </is>
      </c>
      <c r="D73" s="32" t="n">
        <v>0</v>
      </c>
      <c r="E73" s="32" t="n">
        <v>0</v>
      </c>
      <c r="F73" s="32" t="n">
        <v>0</v>
      </c>
      <c r="G73" s="32" t="n">
        <v>1</v>
      </c>
      <c r="H73" s="32" t="n">
        <v>1</v>
      </c>
      <c r="I73" s="32" t="n">
        <v>2</v>
      </c>
      <c r="J73" s="33">
        <f>IF(RMODE="تقريب لأعلى",ROUNDUP(O73,0),ROUND(O73,0))</f>
        <v/>
      </c>
      <c r="K73" s="34" t="n"/>
      <c r="L73" s="35">
        <f>K73-J73</f>
        <v/>
      </c>
      <c r="M73" s="36">
        <f>IF(J73=0,"",K73/J73)</f>
        <v/>
      </c>
      <c r="N73" s="37">
        <f>IF(J73=0,"لا ينطبق",IF(K73&gt;=J73,"مكتمل",IF(K73=0,"لا يوجد","عجز")))</f>
        <v/>
      </c>
      <c r="O73" s="38">
        <f>IF(CAP&lt;=$D$4,D73*CAP/$D$4,IF(CAP&gt;=$I$4,I73*CAP/$I$4,INDEX($D73:$I73,$D$3)+$E$3*(INDEX($D73:$I73,$D$3+1)-INDEX($D73:$I73,$D$3))))</f>
        <v/>
      </c>
      <c r="P73" s="39" t="inlineStr"/>
    </row>
    <row r="74">
      <c r="A74" s="40" t="n"/>
      <c r="B74" s="40" t="n"/>
      <c r="C74" s="40" t="inlineStr">
        <is>
          <t>المجموع (محسوب من الجدول)</t>
        </is>
      </c>
      <c r="D74" s="41">
        <f>SUM(D5:D73)</f>
        <v/>
      </c>
      <c r="E74" s="41">
        <f>SUM(E5:E73)</f>
        <v/>
      </c>
      <c r="F74" s="41">
        <f>SUM(F5:F73)</f>
        <v/>
      </c>
      <c r="G74" s="41">
        <f>SUM(G5:G73)</f>
        <v/>
      </c>
      <c r="H74" s="41">
        <f>SUM(H5:H73)</f>
        <v/>
      </c>
      <c r="I74" s="41">
        <f>SUM(I5:I73)</f>
        <v/>
      </c>
      <c r="J74" s="41">
        <f>SUM(J5:J73)</f>
        <v/>
      </c>
      <c r="K74" s="42">
        <f>SUM(K5:K73)</f>
        <v/>
      </c>
      <c r="L74" s="41">
        <f>SUM(L5:L73)</f>
        <v/>
      </c>
      <c r="M74" s="43">
        <f>IF(J74=0,"",K74/J74)</f>
        <v/>
      </c>
      <c r="N74" s="42" t="n"/>
      <c r="O74" s="42">
        <f>SUM(O5:O73)</f>
        <v/>
      </c>
      <c r="P74" s="42" t="n"/>
    </row>
  </sheetData>
  <mergeCells count="2">
    <mergeCell ref="A1:P1"/>
    <mergeCell ref="A2:P2"/>
  </mergeCells>
  <conditionalFormatting sqref="N5:N73">
    <cfRule type="expression" priority="1" dxfId="0">
      <formula>OR(N5="عجز",N5="لا يوجد")</formula>
    </cfRule>
    <cfRule type="expression" priority="2" dxfId="1">
      <formula>N5="مكتمل"</formula>
    </cfRule>
  </conditionalFormatting>
  <pageMargins left="0.75" right="0.75" top="1" bottom="1" header="0.5" footer="0.5"/>
</worksheet>
</file>

<file path=xl/worksheets/sheet11.xml><?xml version="1.0" encoding="utf-8"?>
<worksheet xmlns="http://schemas.openxmlformats.org/spreadsheetml/2006/main">
  <sheetPr>
    <tabColor rgb="001F6F6B"/>
    <outlinePr summaryBelow="1" summaryRight="1"/>
    <pageSetUpPr/>
  </sheetPr>
  <dimension ref="A1:P36"/>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13" customWidth="1" min="10" max="10"/>
    <col width="12" customWidth="1" min="11" max="11"/>
    <col width="13" customWidth="1" min="12" max="12"/>
    <col width="10" customWidth="1" min="13" max="13"/>
    <col width="11" customWidth="1" min="14" max="14"/>
    <col width="11" customWidth="1" min="15" max="15"/>
    <col width="42" customWidth="1" min="16" max="16"/>
  </cols>
  <sheetData>
    <row r="1" ht="30" customHeight="1">
      <c r="A1" s="1" t="inlineStr">
        <is>
          <t>ولادة - الفنيون</t>
        </is>
      </c>
    </row>
    <row r="2" ht="20" customHeight="1">
      <c r="A2" s="2" t="inlineStr">
        <is>
          <t>الملحق (2) — الفنيون، ويشمل فني تمريض وفني قبالة (صفحات 52-53)</t>
        </is>
      </c>
    </row>
    <row r="3">
      <c r="C3" s="25" t="inlineStr">
        <is>
          <t>معاملا الاستيفاء ◄</t>
        </is>
      </c>
      <c r="D3" s="26">
        <f>IFERROR(MATCH(CAP,$D$4:$I$4,1),1)</f>
        <v/>
      </c>
      <c r="E3" s="27">
        <f>IF(OR(CAP&lt;=$D$4,CAP&gt;=$I$4),0,(CAP-INDEX($D$4:$I$4,$D$3))/(INDEX($D$4:$I$4,$D$3+1)-INDEX($D$4:$I$4,$D$3)))</f>
        <v/>
      </c>
    </row>
    <row r="4" ht="42" customHeight="1">
      <c r="A4" s="28" t="inlineStr">
        <is>
          <t>م</t>
        </is>
      </c>
      <c r="B4" s="28" t="inlineStr">
        <is>
          <t>الفئة</t>
        </is>
      </c>
      <c r="C4" s="28" t="inlineStr">
        <is>
          <t>المسمى الوظيفي</t>
        </is>
      </c>
      <c r="D4" s="29" t="n">
        <v>100</v>
      </c>
      <c r="E4" s="29" t="n">
        <v>150</v>
      </c>
      <c r="F4" s="29" t="n">
        <v>200</v>
      </c>
      <c r="G4" s="29" t="n">
        <v>300</v>
      </c>
      <c r="H4" s="29" t="n">
        <v>400</v>
      </c>
      <c r="I4" s="29" t="n">
        <v>500</v>
      </c>
      <c r="J4" s="28" t="inlineStr">
        <is>
          <t>الاحتياج للسعة المدخلة</t>
        </is>
      </c>
      <c r="K4" s="28" t="inlineStr">
        <is>
          <t>الموجود فعلياً</t>
        </is>
      </c>
      <c r="L4" s="28" t="inlineStr">
        <is>
          <t>الفجوة (+فائض / -عجز)</t>
        </is>
      </c>
      <c r="M4" s="28" t="inlineStr">
        <is>
          <t>نسبة التغطية</t>
        </is>
      </c>
      <c r="N4" s="28" t="inlineStr">
        <is>
          <t>الحالة</t>
        </is>
      </c>
      <c r="O4" s="28" t="inlineStr">
        <is>
          <t>القيمة قبل التقريب</t>
        </is>
      </c>
      <c r="P4" s="28" t="inlineStr">
        <is>
          <t>ملاحظات</t>
        </is>
      </c>
    </row>
    <row r="5">
      <c r="A5" s="30" t="n">
        <v>1</v>
      </c>
      <c r="B5" s="31" t="inlineStr">
        <is>
          <t>فني</t>
        </is>
      </c>
      <c r="C5" s="5" t="inlineStr">
        <is>
          <t>فني تقنية قلب أطفال</t>
        </is>
      </c>
      <c r="D5" s="32" t="n">
        <v>0</v>
      </c>
      <c r="E5" s="32" t="n">
        <v>0</v>
      </c>
      <c r="F5" s="32" t="n">
        <v>2</v>
      </c>
      <c r="G5" s="32" t="n">
        <v>4</v>
      </c>
      <c r="H5" s="32" t="n">
        <v>4</v>
      </c>
      <c r="I5" s="32" t="n">
        <v>4</v>
      </c>
      <c r="J5" s="33">
        <f>IF(RMODE="تقريب لأعلى",ROUNDUP(O5,0),ROUND(O5,0))</f>
        <v/>
      </c>
      <c r="K5" s="34" t="n"/>
      <c r="L5" s="35">
        <f>K5-J5</f>
        <v/>
      </c>
      <c r="M5" s="36">
        <f>IF(J5=0,"",K5/J5)</f>
        <v/>
      </c>
      <c r="N5" s="37">
        <f>IF(J5=0,"لا ينطبق",IF(K5&gt;=J5,"مكتمل",IF(K5=0,"لا يوجد","عجز")))</f>
        <v/>
      </c>
      <c r="O5" s="38">
        <f>IF(CAP&lt;=$D$4,D5*CAP/$D$4,IF(CAP&gt;=$I$4,I5*CAP/$I$4,INDEX($D5:$I5,$D$3)+$E$3*(INDEX($D5:$I5,$D$3+1)-INDEX($D5:$I5,$D$3))))</f>
        <v/>
      </c>
      <c r="P5" s="39" t="inlineStr"/>
    </row>
    <row r="6">
      <c r="A6" s="30" t="n">
        <v>2</v>
      </c>
      <c r="B6" s="31" t="inlineStr">
        <is>
          <t>فني</t>
        </is>
      </c>
      <c r="C6" s="5" t="inlineStr">
        <is>
          <t>فني أعصاب أطفال</t>
        </is>
      </c>
      <c r="D6" s="32" t="n">
        <v>0</v>
      </c>
      <c r="E6" s="32" t="n">
        <v>2</v>
      </c>
      <c r="F6" s="32" t="n">
        <v>2</v>
      </c>
      <c r="G6" s="32" t="n">
        <v>3</v>
      </c>
      <c r="H6" s="32" t="n">
        <v>4</v>
      </c>
      <c r="I6" s="32" t="n">
        <v>4</v>
      </c>
      <c r="J6" s="33">
        <f>IF(RMODE="تقريب لأعلى",ROUNDUP(O6,0),ROUND(O6,0))</f>
        <v/>
      </c>
      <c r="K6" s="34" t="n"/>
      <c r="L6" s="35">
        <f>K6-J6</f>
        <v/>
      </c>
      <c r="M6" s="36">
        <f>IF(J6=0,"",K6/J6)</f>
        <v/>
      </c>
      <c r="N6" s="37">
        <f>IF(J6=0,"لا ينطبق",IF(K6&gt;=J6,"مكتمل",IF(K6=0,"لا يوجد","عجز")))</f>
        <v/>
      </c>
      <c r="O6" s="38">
        <f>IF(CAP&lt;=$D$4,D6*CAP/$D$4,IF(CAP&gt;=$I$4,I6*CAP/$I$4,INDEX($D6:$I6,$D$3)+$E$3*(INDEX($D6:$I6,$D$3+1)-INDEX($D6:$I6,$D$3))))</f>
        <v/>
      </c>
      <c r="P6" s="39" t="inlineStr"/>
    </row>
    <row r="7">
      <c r="A7" s="30" t="n">
        <v>3</v>
      </c>
      <c r="B7" s="31" t="inlineStr">
        <is>
          <t>فني</t>
        </is>
      </c>
      <c r="C7" s="5" t="inlineStr">
        <is>
          <t>فني تخدير</t>
        </is>
      </c>
      <c r="D7" s="32" t="n">
        <v>6</v>
      </c>
      <c r="E7" s="32" t="n">
        <v>10</v>
      </c>
      <c r="F7" s="32" t="n">
        <v>12</v>
      </c>
      <c r="G7" s="32" t="n">
        <v>15</v>
      </c>
      <c r="H7" s="32" t="n">
        <v>20</v>
      </c>
      <c r="I7" s="32" t="n">
        <v>25</v>
      </c>
      <c r="J7" s="33">
        <f>IF(RMODE="تقريب لأعلى",ROUNDUP(O7,0),ROUND(O7,0))</f>
        <v/>
      </c>
      <c r="K7" s="34" t="n"/>
      <c r="L7" s="35">
        <f>K7-J7</f>
        <v/>
      </c>
      <c r="M7" s="36">
        <f>IF(J7=0,"",K7/J7)</f>
        <v/>
      </c>
      <c r="N7" s="37">
        <f>IF(J7=0,"لا ينطبق",IF(K7&gt;=J7,"مكتمل",IF(K7=0,"لا يوجد","عجز")))</f>
        <v/>
      </c>
      <c r="O7" s="38">
        <f>IF(CAP&lt;=$D$4,D7*CAP/$D$4,IF(CAP&gt;=$I$4,I7*CAP/$I$4,INDEX($D7:$I7,$D$3)+$E$3*(INDEX($D7:$I7,$D$3+1)-INDEX($D7:$I7,$D$3))))</f>
        <v/>
      </c>
      <c r="P7" s="39" t="inlineStr"/>
    </row>
    <row r="8">
      <c r="A8" s="30" t="n">
        <v>4</v>
      </c>
      <c r="B8" s="31" t="inlineStr">
        <is>
          <t>فني</t>
        </is>
      </c>
      <c r="C8" s="5" t="inlineStr">
        <is>
          <t>فني إسعاف وطوارئ أطفال</t>
        </is>
      </c>
      <c r="D8" s="32" t="n">
        <v>8</v>
      </c>
      <c r="E8" s="32" t="n">
        <v>12</v>
      </c>
      <c r="F8" s="32" t="n">
        <v>15</v>
      </c>
      <c r="G8" s="32" t="n">
        <v>20</v>
      </c>
      <c r="H8" s="32" t="n">
        <v>25</v>
      </c>
      <c r="I8" s="32" t="n">
        <v>30</v>
      </c>
      <c r="J8" s="33">
        <f>IF(RMODE="تقريب لأعلى",ROUNDUP(O8,0),ROUND(O8,0))</f>
        <v/>
      </c>
      <c r="K8" s="34" t="n"/>
      <c r="L8" s="35">
        <f>K8-J8</f>
        <v/>
      </c>
      <c r="M8" s="36">
        <f>IF(J8=0,"",K8/J8)</f>
        <v/>
      </c>
      <c r="N8" s="37">
        <f>IF(J8=0,"لا ينطبق",IF(K8&gt;=J8,"مكتمل",IF(K8=0,"لا يوجد","عجز")))</f>
        <v/>
      </c>
      <c r="O8" s="38">
        <f>IF(CAP&lt;=$D$4,D8*CAP/$D$4,IF(CAP&gt;=$I$4,I8*CAP/$I$4,INDEX($D8:$I8,$D$3)+$E$3*(INDEX($D8:$I8,$D$3+1)-INDEX($D8:$I8,$D$3))))</f>
        <v/>
      </c>
      <c r="P8" s="39" t="inlineStr"/>
    </row>
    <row r="9">
      <c r="A9" s="30" t="n">
        <v>5</v>
      </c>
      <c r="B9" s="31" t="inlineStr">
        <is>
          <t>فني</t>
        </is>
      </c>
      <c r="C9" s="5" t="inlineStr">
        <is>
          <t>فني أشعة</t>
        </is>
      </c>
      <c r="D9" s="32" t="n">
        <v>12</v>
      </c>
      <c r="E9" s="32" t="n">
        <v>11</v>
      </c>
      <c r="F9" s="32" t="n">
        <v>11</v>
      </c>
      <c r="G9" s="32" t="n">
        <v>12</v>
      </c>
      <c r="H9" s="32" t="n">
        <v>15</v>
      </c>
      <c r="I9" s="32" t="n">
        <v>11</v>
      </c>
      <c r="J9" s="33">
        <f>IF(RMODE="تقريب لأعلى",ROUNDUP(O9,0),ROUND(O9,0))</f>
        <v/>
      </c>
      <c r="K9" s="34" t="n"/>
      <c r="L9" s="35">
        <f>K9-J9</f>
        <v/>
      </c>
      <c r="M9" s="36">
        <f>IF(J9=0,"",K9/J9)</f>
        <v/>
      </c>
      <c r="N9" s="37">
        <f>IF(J9=0,"لا ينطبق",IF(K9&gt;=J9,"مكتمل",IF(K9=0,"لا يوجد","عجز")))</f>
        <v/>
      </c>
      <c r="O9" s="38">
        <f>IF(CAP&lt;=$D$4,D9*CAP/$D$4,IF(CAP&gt;=$I$4,I9*CAP/$I$4,INDEX($D9:$I9,$D$3)+$E$3*(INDEX($D9:$I9,$D$3+1)-INDEX($D9:$I9,$D$3))))</f>
        <v/>
      </c>
      <c r="P9" s="39" t="inlineStr"/>
    </row>
    <row r="10">
      <c r="A10" s="30" t="n">
        <v>6</v>
      </c>
      <c r="B10" s="31" t="inlineStr">
        <is>
          <t>فني</t>
        </is>
      </c>
      <c r="C10" s="5" t="inlineStr">
        <is>
          <t>فني مختبرات</t>
        </is>
      </c>
      <c r="D10" s="32" t="n">
        <v>12</v>
      </c>
      <c r="E10" s="32" t="n">
        <v>18</v>
      </c>
      <c r="F10" s="32" t="n">
        <v>23</v>
      </c>
      <c r="G10" s="32" t="n">
        <v>27</v>
      </c>
      <c r="H10" s="32" t="n">
        <v>46</v>
      </c>
      <c r="I10" s="32" t="n">
        <v>60</v>
      </c>
      <c r="J10" s="33">
        <f>IF(RMODE="تقريب لأعلى",ROUNDUP(O10,0),ROUND(O10,0))</f>
        <v/>
      </c>
      <c r="K10" s="34" t="n"/>
      <c r="L10" s="35">
        <f>K10-J10</f>
        <v/>
      </c>
      <c r="M10" s="36">
        <f>IF(J10=0,"",K10/J10)</f>
        <v/>
      </c>
      <c r="N10" s="37">
        <f>IF(J10=0,"لا ينطبق",IF(K10&gt;=J10,"مكتمل",IF(K10=0,"لا يوجد","عجز")))</f>
        <v/>
      </c>
      <c r="O10" s="38">
        <f>IF(CAP&lt;=$D$4,D10*CAP/$D$4,IF(CAP&gt;=$I$4,I10*CAP/$I$4,INDEX($D10:$I10,$D$3)+$E$3*(INDEX($D10:$I10,$D$3+1)-INDEX($D10:$I10,$D$3))))</f>
        <v/>
      </c>
      <c r="P10" s="39" t="inlineStr"/>
    </row>
    <row r="11">
      <c r="A11" s="30" t="n">
        <v>7</v>
      </c>
      <c r="B11" s="31" t="inlineStr">
        <is>
          <t>فني</t>
        </is>
      </c>
      <c r="C11" s="5" t="inlineStr">
        <is>
          <t>فني علاج طبيعي</t>
        </is>
      </c>
      <c r="D11" s="32" t="n">
        <v>4</v>
      </c>
      <c r="E11" s="32" t="n">
        <v>4</v>
      </c>
      <c r="F11" s="32" t="n">
        <v>6</v>
      </c>
      <c r="G11" s="32" t="n">
        <v>6</v>
      </c>
      <c r="H11" s="32" t="n">
        <v>8</v>
      </c>
      <c r="I11" s="32" t="n">
        <v>8</v>
      </c>
      <c r="J11" s="33">
        <f>IF(RMODE="تقريب لأعلى",ROUNDUP(O11,0),ROUND(O11,0))</f>
        <v/>
      </c>
      <c r="K11" s="34" t="n"/>
      <c r="L11" s="35">
        <f>K11-J11</f>
        <v/>
      </c>
      <c r="M11" s="36">
        <f>IF(J11=0,"",K11/J11)</f>
        <v/>
      </c>
      <c r="N11" s="37">
        <f>IF(J11=0,"لا ينطبق",IF(K11&gt;=J11,"مكتمل",IF(K11=0,"لا يوجد","عجز")))</f>
        <v/>
      </c>
      <c r="O11" s="38">
        <f>IF(CAP&lt;=$D$4,D11*CAP/$D$4,IF(CAP&gt;=$I$4,I11*CAP/$I$4,INDEX($D11:$I11,$D$3)+$E$3*(INDEX($D11:$I11,$D$3+1)-INDEX($D11:$I11,$D$3))))</f>
        <v/>
      </c>
      <c r="P11" s="39" t="inlineStr"/>
    </row>
    <row r="12">
      <c r="A12" s="30" t="n">
        <v>8</v>
      </c>
      <c r="B12" s="31" t="inlineStr">
        <is>
          <t>فني</t>
        </is>
      </c>
      <c r="C12" s="5" t="inlineStr">
        <is>
          <t>فني علاج وظيفي</t>
        </is>
      </c>
      <c r="D12" s="32" t="n">
        <v>0</v>
      </c>
      <c r="E12" s="32" t="n">
        <v>0</v>
      </c>
      <c r="F12" s="32" t="n">
        <v>1</v>
      </c>
      <c r="G12" s="32" t="n">
        <v>2</v>
      </c>
      <c r="H12" s="32" t="n">
        <v>3</v>
      </c>
      <c r="I12" s="32" t="n">
        <v>4</v>
      </c>
      <c r="J12" s="33">
        <f>IF(RMODE="تقريب لأعلى",ROUNDUP(O12,0),ROUND(O12,0))</f>
        <v/>
      </c>
      <c r="K12" s="34" t="n"/>
      <c r="L12" s="35">
        <f>K12-J12</f>
        <v/>
      </c>
      <c r="M12" s="36">
        <f>IF(J12=0,"",K12/J12)</f>
        <v/>
      </c>
      <c r="N12" s="37">
        <f>IF(J12=0,"لا ينطبق",IF(K12&gt;=J12,"مكتمل",IF(K12=0,"لا يوجد","عجز")))</f>
        <v/>
      </c>
      <c r="O12" s="38">
        <f>IF(CAP&lt;=$D$4,D12*CAP/$D$4,IF(CAP&gt;=$I$4,I12*CAP/$I$4,INDEX($D12:$I12,$D$3)+$E$3*(INDEX($D12:$I12,$D$3+1)-INDEX($D12:$I12,$D$3))))</f>
        <v/>
      </c>
      <c r="P12" s="39" t="inlineStr"/>
    </row>
    <row r="13">
      <c r="A13" s="30" t="n">
        <v>9</v>
      </c>
      <c r="B13" s="31" t="inlineStr">
        <is>
          <t>فني</t>
        </is>
      </c>
      <c r="C13" s="5" t="inlineStr">
        <is>
          <t>فني معالجة نطق وتخاطب</t>
        </is>
      </c>
      <c r="D13" s="32" t="n">
        <v>0</v>
      </c>
      <c r="E13" s="32" t="n">
        <v>0</v>
      </c>
      <c r="F13" s="32" t="n">
        <v>0</v>
      </c>
      <c r="G13" s="32" t="n">
        <v>2</v>
      </c>
      <c r="H13" s="32" t="n">
        <v>3</v>
      </c>
      <c r="I13" s="32" t="n">
        <v>4</v>
      </c>
      <c r="J13" s="33">
        <f>IF(RMODE="تقريب لأعلى",ROUNDUP(O13,0),ROUND(O13,0))</f>
        <v/>
      </c>
      <c r="K13" s="34" t="n"/>
      <c r="L13" s="35">
        <f>K13-J13</f>
        <v/>
      </c>
      <c r="M13" s="36">
        <f>IF(J13=0,"",K13/J13)</f>
        <v/>
      </c>
      <c r="N13" s="37">
        <f>IF(J13=0,"لا ينطبق",IF(K13&gt;=J13,"مكتمل",IF(K13=0,"لا يوجد","عجز")))</f>
        <v/>
      </c>
      <c r="O13" s="38">
        <f>IF(CAP&lt;=$D$4,D13*CAP/$D$4,IF(CAP&gt;=$I$4,I13*CAP/$I$4,INDEX($D13:$I13,$D$3)+$E$3*(INDEX($D13:$I13,$D$3+1)-INDEX($D13:$I13,$D$3))))</f>
        <v/>
      </c>
      <c r="P13" s="39" t="inlineStr"/>
    </row>
    <row r="14">
      <c r="A14" s="30" t="n">
        <v>10</v>
      </c>
      <c r="B14" s="31" t="inlineStr">
        <is>
          <t>فني</t>
        </is>
      </c>
      <c r="C14" s="5" t="inlineStr">
        <is>
          <t>فني معالجة سمع</t>
        </is>
      </c>
      <c r="D14" s="32" t="n">
        <v>0</v>
      </c>
      <c r="E14" s="32" t="n">
        <v>0</v>
      </c>
      <c r="F14" s="32" t="n">
        <v>0</v>
      </c>
      <c r="G14" s="32" t="n">
        <v>2</v>
      </c>
      <c r="H14" s="32" t="n">
        <v>3</v>
      </c>
      <c r="I14" s="32" t="n">
        <v>4</v>
      </c>
      <c r="J14" s="33">
        <f>IF(RMODE="تقريب لأعلى",ROUNDUP(O14,0),ROUND(O14,0))</f>
        <v/>
      </c>
      <c r="K14" s="34" t="n"/>
      <c r="L14" s="35">
        <f>K14-J14</f>
        <v/>
      </c>
      <c r="M14" s="36">
        <f>IF(J14=0,"",K14/J14)</f>
        <v/>
      </c>
      <c r="N14" s="37">
        <f>IF(J14=0,"لا ينطبق",IF(K14&gt;=J14,"مكتمل",IF(K14=0,"لا يوجد","عجز")))</f>
        <v/>
      </c>
      <c r="O14" s="38">
        <f>IF(CAP&lt;=$D$4,D14*CAP/$D$4,IF(CAP&gt;=$I$4,I14*CAP/$I$4,INDEX($D14:$I14,$D$3)+$E$3*(INDEX($D14:$I14,$D$3+1)-INDEX($D14:$I14,$D$3))))</f>
        <v/>
      </c>
      <c r="P14" s="39" t="inlineStr"/>
    </row>
    <row r="15">
      <c r="A15" s="30" t="n">
        <v>11</v>
      </c>
      <c r="B15" s="31" t="inlineStr">
        <is>
          <t>فني</t>
        </is>
      </c>
      <c r="C15" s="5" t="inlineStr">
        <is>
          <t>فني أطراف صناعية</t>
        </is>
      </c>
      <c r="D15" s="32" t="n">
        <v>0</v>
      </c>
      <c r="E15" s="32" t="n">
        <v>0</v>
      </c>
      <c r="F15" s="32" t="n">
        <v>0</v>
      </c>
      <c r="G15" s="32" t="n">
        <v>1</v>
      </c>
      <c r="H15" s="32" t="n">
        <v>2</v>
      </c>
      <c r="I15" s="32" t="n">
        <v>3</v>
      </c>
      <c r="J15" s="33">
        <f>IF(RMODE="تقريب لأعلى",ROUNDUP(O15,0),ROUND(O15,0))</f>
        <v/>
      </c>
      <c r="K15" s="34" t="n"/>
      <c r="L15" s="35">
        <f>K15-J15</f>
        <v/>
      </c>
      <c r="M15" s="36">
        <f>IF(J15=0,"",K15/J15)</f>
        <v/>
      </c>
      <c r="N15" s="37">
        <f>IF(J15=0,"لا ينطبق",IF(K15&gt;=J15,"مكتمل",IF(K15=0,"لا يوجد","عجز")))</f>
        <v/>
      </c>
      <c r="O15" s="38">
        <f>IF(CAP&lt;=$D$4,D15*CAP/$D$4,IF(CAP&gt;=$I$4,I15*CAP/$I$4,INDEX($D15:$I15,$D$3)+$E$3*(INDEX($D15:$I15,$D$3+1)-INDEX($D15:$I15,$D$3))))</f>
        <v/>
      </c>
      <c r="P15" s="39" t="inlineStr"/>
    </row>
    <row r="16">
      <c r="A16" s="30" t="n">
        <v>12</v>
      </c>
      <c r="B16" s="31" t="inlineStr">
        <is>
          <t>فني</t>
        </is>
      </c>
      <c r="C16" s="5" t="inlineStr">
        <is>
          <t>فني تثقيف صحي</t>
        </is>
      </c>
      <c r="D16" s="32" t="n">
        <v>2</v>
      </c>
      <c r="E16" s="32" t="n">
        <v>2</v>
      </c>
      <c r="F16" s="32" t="n">
        <v>2</v>
      </c>
      <c r="G16" s="32" t="n">
        <v>3</v>
      </c>
      <c r="H16" s="32" t="n">
        <v>4</v>
      </c>
      <c r="I16" s="32" t="n">
        <v>4</v>
      </c>
      <c r="J16" s="33">
        <f>IF(RMODE="تقريب لأعلى",ROUNDUP(O16,0),ROUND(O16,0))</f>
        <v/>
      </c>
      <c r="K16" s="34" t="n"/>
      <c r="L16" s="35">
        <f>K16-J16</f>
        <v/>
      </c>
      <c r="M16" s="36">
        <f>IF(J16=0,"",K16/J16)</f>
        <v/>
      </c>
      <c r="N16" s="37">
        <f>IF(J16=0,"لا ينطبق",IF(K16&gt;=J16,"مكتمل",IF(K16=0,"لا يوجد","عجز")))</f>
        <v/>
      </c>
      <c r="O16" s="38">
        <f>IF(CAP&lt;=$D$4,D16*CAP/$D$4,IF(CAP&gt;=$I$4,I16*CAP/$I$4,INDEX($D16:$I16,$D$3)+$E$3*(INDEX($D16:$I16,$D$3+1)-INDEX($D16:$I16,$D$3))))</f>
        <v/>
      </c>
      <c r="P16" s="39" t="inlineStr"/>
    </row>
    <row r="17">
      <c r="A17" s="30" t="n">
        <v>13</v>
      </c>
      <c r="B17" s="31" t="inlineStr">
        <is>
          <t>فني</t>
        </is>
      </c>
      <c r="C17" s="5" t="inlineStr">
        <is>
          <t>فني مناظير باطني</t>
        </is>
      </c>
      <c r="D17" s="32" t="n">
        <v>0</v>
      </c>
      <c r="E17" s="32" t="n">
        <v>3</v>
      </c>
      <c r="F17" s="32" t="n">
        <v>4</v>
      </c>
      <c r="G17" s="32" t="n">
        <v>5</v>
      </c>
      <c r="H17" s="32" t="n">
        <v>6</v>
      </c>
      <c r="I17" s="32" t="n">
        <v>8</v>
      </c>
      <c r="J17" s="33">
        <f>IF(RMODE="تقريب لأعلى",ROUNDUP(O17,0),ROUND(O17,0))</f>
        <v/>
      </c>
      <c r="K17" s="34" t="n"/>
      <c r="L17" s="35">
        <f>K17-J17</f>
        <v/>
      </c>
      <c r="M17" s="36">
        <f>IF(J17=0,"",K17/J17)</f>
        <v/>
      </c>
      <c r="N17" s="37">
        <f>IF(J17=0,"لا ينطبق",IF(K17&gt;=J17,"مكتمل",IF(K17=0,"لا يوجد","عجز")))</f>
        <v/>
      </c>
      <c r="O17" s="38">
        <f>IF(CAP&lt;=$D$4,D17*CAP/$D$4,IF(CAP&gt;=$I$4,I17*CAP/$I$4,INDEX($D17:$I17,$D$3)+$E$3*(INDEX($D17:$I17,$D$3+1)-INDEX($D17:$I17,$D$3))))</f>
        <v/>
      </c>
      <c r="P17" s="39" t="inlineStr"/>
    </row>
    <row r="18">
      <c r="A18" s="30" t="n">
        <v>14</v>
      </c>
      <c r="B18" s="31" t="inlineStr">
        <is>
          <t>فني</t>
        </is>
      </c>
      <c r="C18" s="5" t="inlineStr">
        <is>
          <t>فني مساعد طبيب أسنان</t>
        </is>
      </c>
      <c r="D18" s="32" t="n">
        <v>2</v>
      </c>
      <c r="E18" s="32" t="n">
        <v>2</v>
      </c>
      <c r="F18" s="32" t="n">
        <v>2</v>
      </c>
      <c r="G18" s="32" t="n">
        <v>3</v>
      </c>
      <c r="H18" s="32" t="n">
        <v>3</v>
      </c>
      <c r="I18" s="32" t="n">
        <v>3</v>
      </c>
      <c r="J18" s="33">
        <f>IF(RMODE="تقريب لأعلى",ROUNDUP(O18,0),ROUND(O18,0))</f>
        <v/>
      </c>
      <c r="K18" s="34" t="n"/>
      <c r="L18" s="35">
        <f>K18-J18</f>
        <v/>
      </c>
      <c r="M18" s="36">
        <f>IF(J18=0,"",K18/J18)</f>
        <v/>
      </c>
      <c r="N18" s="37">
        <f>IF(J18=0,"لا ينطبق",IF(K18&gt;=J18,"مكتمل",IF(K18=0,"لا يوجد","عجز")))</f>
        <v/>
      </c>
      <c r="O18" s="38">
        <f>IF(CAP&lt;=$D$4,D18*CAP/$D$4,IF(CAP&gt;=$I$4,I18*CAP/$I$4,INDEX($D18:$I18,$D$3)+$E$3*(INDEX($D18:$I18,$D$3+1)-INDEX($D18:$I18,$D$3))))</f>
        <v/>
      </c>
      <c r="P18" s="39" t="inlineStr"/>
    </row>
    <row r="19">
      <c r="A19" s="30" t="n">
        <v>15</v>
      </c>
      <c r="B19" s="31" t="inlineStr">
        <is>
          <t>تمريض</t>
        </is>
      </c>
      <c r="C19" s="5" t="inlineStr">
        <is>
          <t>فني تمريض 30%</t>
        </is>
      </c>
      <c r="D19" s="32" t="n">
        <v>87</v>
      </c>
      <c r="E19" s="32" t="n">
        <v>135</v>
      </c>
      <c r="F19" s="32" t="n">
        <v>186</v>
      </c>
      <c r="G19" s="32" t="n">
        <v>288</v>
      </c>
      <c r="H19" s="32" t="n">
        <v>396</v>
      </c>
      <c r="I19" s="32" t="n">
        <v>504</v>
      </c>
      <c r="J19" s="33">
        <f>IF(RMODE="تقريب لأعلى",ROUNDUP(O19,0),ROUND(O19,0))</f>
        <v/>
      </c>
      <c r="K19" s="34" t="n"/>
      <c r="L19" s="35">
        <f>K19-J19</f>
        <v/>
      </c>
      <c r="M19" s="36">
        <f>IF(J19=0,"",K19/J19)</f>
        <v/>
      </c>
      <c r="N19" s="37">
        <f>IF(J19=0,"لا ينطبق",IF(K19&gt;=J19,"مكتمل",IF(K19=0,"لا يوجد","عجز")))</f>
        <v/>
      </c>
      <c r="O19" s="38">
        <f>IF(CAP&lt;=$D$4,D19*CAP/$D$4,IF(CAP&gt;=$I$4,I19*CAP/$I$4,INDEX($D19:$I19,$D$3)+$E$3*(INDEX($D19:$I19,$D$3+1)-INDEX($D19:$I19,$D$3))))</f>
        <v/>
      </c>
      <c r="P19" s="39" t="inlineStr">
        <is>
          <t>إيضاح 11</t>
        </is>
      </c>
    </row>
    <row r="20">
      <c r="A20" s="30" t="n">
        <v>16</v>
      </c>
      <c r="B20" s="31" t="inlineStr">
        <is>
          <t>قبالة</t>
        </is>
      </c>
      <c r="C20" s="5" t="inlineStr">
        <is>
          <t>فني قبالة 30%</t>
        </is>
      </c>
      <c r="D20" s="32" t="n">
        <v>2</v>
      </c>
      <c r="E20" s="32" t="n">
        <v>3</v>
      </c>
      <c r="F20" s="32" t="n">
        <v>4</v>
      </c>
      <c r="G20" s="32" t="n">
        <v>12</v>
      </c>
      <c r="H20" s="32" t="n">
        <v>6</v>
      </c>
      <c r="I20" s="32" t="n">
        <v>10</v>
      </c>
      <c r="J20" s="33">
        <f>IF(RMODE="تقريب لأعلى",ROUNDUP(O20,0),ROUND(O20,0))</f>
        <v/>
      </c>
      <c r="K20" s="34" t="n"/>
      <c r="L20" s="35">
        <f>K20-J20</f>
        <v/>
      </c>
      <c r="M20" s="36">
        <f>IF(J20=0,"",K20/J20)</f>
        <v/>
      </c>
      <c r="N20" s="37">
        <f>IF(J20=0,"لا ينطبق",IF(K20&gt;=J20,"مكتمل",IF(K20=0,"لا يوجد","عجز")))</f>
        <v/>
      </c>
      <c r="O20" s="38">
        <f>IF(CAP&lt;=$D$4,D20*CAP/$D$4,IF(CAP&gt;=$I$4,I20*CAP/$I$4,INDEX($D20:$I20,$D$3)+$E$3*(INDEX($D20:$I20,$D$3+1)-INDEX($D20:$I20,$D$3))))</f>
        <v/>
      </c>
      <c r="P20" s="39" t="inlineStr">
        <is>
          <t>إيضاح 11 — القيمة عند 300 سرير (12) واردة كما هي في الدليل وتخالف تدرج بقية الشرائح</t>
        </is>
      </c>
    </row>
    <row r="21">
      <c r="A21" s="30" t="n">
        <v>17</v>
      </c>
      <c r="B21" s="31" t="inlineStr">
        <is>
          <t>فني</t>
        </is>
      </c>
      <c r="C21" s="5" t="inlineStr">
        <is>
          <t>فني عمليات</t>
        </is>
      </c>
      <c r="D21" s="32" t="n">
        <v>10</v>
      </c>
      <c r="E21" s="32" t="n">
        <v>10</v>
      </c>
      <c r="F21" s="32" t="n">
        <v>15</v>
      </c>
      <c r="G21" s="32" t="n">
        <v>20</v>
      </c>
      <c r="H21" s="32" t="n">
        <v>25</v>
      </c>
      <c r="I21" s="32" t="n">
        <v>30</v>
      </c>
      <c r="J21" s="33">
        <f>IF(RMODE="تقريب لأعلى",ROUNDUP(O21,0),ROUND(O21,0))</f>
        <v/>
      </c>
      <c r="K21" s="34" t="n"/>
      <c r="L21" s="35">
        <f>K21-J21</f>
        <v/>
      </c>
      <c r="M21" s="36">
        <f>IF(J21=0,"",K21/J21)</f>
        <v/>
      </c>
      <c r="N21" s="37">
        <f>IF(J21=0,"لا ينطبق",IF(K21&gt;=J21,"مكتمل",IF(K21=0,"لا يوجد","عجز")))</f>
        <v/>
      </c>
      <c r="O21" s="38">
        <f>IF(CAP&lt;=$D$4,D21*CAP/$D$4,IF(CAP&gt;=$I$4,I21*CAP/$I$4,INDEX($D21:$I21,$D$3)+$E$3*(INDEX($D21:$I21,$D$3+1)-INDEX($D21:$I21,$D$3))))</f>
        <v/>
      </c>
      <c r="P21" s="39" t="inlineStr"/>
    </row>
    <row r="22">
      <c r="A22" s="30" t="n">
        <v>18</v>
      </c>
      <c r="B22" s="31" t="inlineStr">
        <is>
          <t>فني</t>
        </is>
      </c>
      <c r="C22" s="5" t="inlineStr">
        <is>
          <t>فني تعقيم</t>
        </is>
      </c>
      <c r="D22" s="32" t="n">
        <v>4</v>
      </c>
      <c r="E22" s="32" t="n">
        <v>6</v>
      </c>
      <c r="F22" s="32" t="n">
        <v>8</v>
      </c>
      <c r="G22" s="32" t="n">
        <v>10</v>
      </c>
      <c r="H22" s="32" t="n">
        <v>12</v>
      </c>
      <c r="I22" s="32" t="n">
        <v>15</v>
      </c>
      <c r="J22" s="33">
        <f>IF(RMODE="تقريب لأعلى",ROUNDUP(O22,0),ROUND(O22,0))</f>
        <v/>
      </c>
      <c r="K22" s="34" t="n"/>
      <c r="L22" s="35">
        <f>K22-J22</f>
        <v/>
      </c>
      <c r="M22" s="36">
        <f>IF(J22=0,"",K22/J22)</f>
        <v/>
      </c>
      <c r="N22" s="37">
        <f>IF(J22=0,"لا ينطبق",IF(K22&gt;=J22,"مكتمل",IF(K22=0,"لا يوجد","عجز")))</f>
        <v/>
      </c>
      <c r="O22" s="38">
        <f>IF(CAP&lt;=$D$4,D22*CAP/$D$4,IF(CAP&gt;=$I$4,I22*CAP/$I$4,INDEX($D22:$I22,$D$3)+$E$3*(INDEX($D22:$I22,$D$3+1)-INDEX($D22:$I22,$D$3))))</f>
        <v/>
      </c>
      <c r="P22" s="39" t="inlineStr"/>
    </row>
    <row r="23">
      <c r="A23" s="30" t="n">
        <v>19</v>
      </c>
      <c r="B23" s="31" t="inlineStr">
        <is>
          <t>فني</t>
        </is>
      </c>
      <c r="C23" s="5" t="inlineStr">
        <is>
          <t>فني جبائر</t>
        </is>
      </c>
      <c r="D23" s="32" t="n">
        <v>2</v>
      </c>
      <c r="E23" s="32" t="n">
        <v>2</v>
      </c>
      <c r="F23" s="32" t="n">
        <v>2</v>
      </c>
      <c r="G23" s="32" t="n">
        <v>4</v>
      </c>
      <c r="H23" s="32" t="n">
        <v>4</v>
      </c>
      <c r="I23" s="32" t="n">
        <v>4</v>
      </c>
      <c r="J23" s="33">
        <f>IF(RMODE="تقريب لأعلى",ROUNDUP(O23,0),ROUND(O23,0))</f>
        <v/>
      </c>
      <c r="K23" s="34" t="n"/>
      <c r="L23" s="35">
        <f>K23-J23</f>
        <v/>
      </c>
      <c r="M23" s="36">
        <f>IF(J23=0,"",K23/J23)</f>
        <v/>
      </c>
      <c r="N23" s="37">
        <f>IF(J23=0,"لا ينطبق",IF(K23&gt;=J23,"مكتمل",IF(K23=0,"لا يوجد","عجز")))</f>
        <v/>
      </c>
      <c r="O23" s="38">
        <f>IF(CAP&lt;=$D$4,D23*CAP/$D$4,IF(CAP&gt;=$I$4,I23*CAP/$I$4,INDEX($D23:$I23,$D$3)+$E$3*(INDEX($D23:$I23,$D$3+1)-INDEX($D23:$I23,$D$3))))</f>
        <v/>
      </c>
      <c r="P23" s="39" t="inlineStr"/>
    </row>
    <row r="24">
      <c r="A24" s="30" t="n">
        <v>20</v>
      </c>
      <c r="B24" s="31" t="inlineStr">
        <is>
          <t>فني</t>
        </is>
      </c>
      <c r="C24" s="5" t="inlineStr">
        <is>
          <t>فني علاج تنفسي</t>
        </is>
      </c>
      <c r="D24" s="32" t="n">
        <v>4</v>
      </c>
      <c r="E24" s="32" t="n">
        <v>6</v>
      </c>
      <c r="F24" s="32" t="n">
        <v>8</v>
      </c>
      <c r="G24" s="32" t="n">
        <v>10</v>
      </c>
      <c r="H24" s="32" t="n">
        <v>12</v>
      </c>
      <c r="I24" s="32" t="n">
        <v>18</v>
      </c>
      <c r="J24" s="33">
        <f>IF(RMODE="تقريب لأعلى",ROUNDUP(O24,0),ROUND(O24,0))</f>
        <v/>
      </c>
      <c r="K24" s="34" t="n"/>
      <c r="L24" s="35">
        <f>K24-J24</f>
        <v/>
      </c>
      <c r="M24" s="36">
        <f>IF(J24=0,"",K24/J24)</f>
        <v/>
      </c>
      <c r="N24" s="37">
        <f>IF(J24=0,"لا ينطبق",IF(K24&gt;=J24,"مكتمل",IF(K24=0,"لا يوجد","عجز")))</f>
        <v/>
      </c>
      <c r="O24" s="38">
        <f>IF(CAP&lt;=$D$4,D24*CAP/$D$4,IF(CAP&gt;=$I$4,I24*CAP/$I$4,INDEX($D24:$I24,$D$3)+$E$3*(INDEX($D24:$I24,$D$3+1)-INDEX($D24:$I24,$D$3))))</f>
        <v/>
      </c>
      <c r="P24" s="39" t="inlineStr">
        <is>
          <t>إيضاح 22</t>
        </is>
      </c>
    </row>
    <row r="25">
      <c r="A25" s="30" t="n">
        <v>21</v>
      </c>
      <c r="B25" s="31" t="inlineStr">
        <is>
          <t>فني</t>
        </is>
      </c>
      <c r="C25" s="5" t="inlineStr">
        <is>
          <t>فني بصريات</t>
        </is>
      </c>
      <c r="D25" s="32" t="n">
        <v>1</v>
      </c>
      <c r="E25" s="32" t="n">
        <v>2</v>
      </c>
      <c r="F25" s="32" t="n">
        <v>3</v>
      </c>
      <c r="G25" s="32" t="n">
        <v>4</v>
      </c>
      <c r="H25" s="32" t="n">
        <v>7</v>
      </c>
      <c r="I25" s="32" t="n">
        <v>9</v>
      </c>
      <c r="J25" s="33">
        <f>IF(RMODE="تقريب لأعلى",ROUNDUP(O25,0),ROUND(O25,0))</f>
        <v/>
      </c>
      <c r="K25" s="34" t="n"/>
      <c r="L25" s="35">
        <f>K25-J25</f>
        <v/>
      </c>
      <c r="M25" s="36">
        <f>IF(J25=0,"",K25/J25)</f>
        <v/>
      </c>
      <c r="N25" s="37">
        <f>IF(J25=0,"لا ينطبق",IF(K25&gt;=J25,"مكتمل",IF(K25=0,"لا يوجد","عجز")))</f>
        <v/>
      </c>
      <c r="O25" s="38">
        <f>IF(CAP&lt;=$D$4,D25*CAP/$D$4,IF(CAP&gt;=$I$4,I25*CAP/$I$4,INDEX($D25:$I25,$D$3)+$E$3*(INDEX($D25:$I25,$D$3+1)-INDEX($D25:$I25,$D$3))))</f>
        <v/>
      </c>
      <c r="P25" s="39" t="inlineStr"/>
    </row>
    <row r="26">
      <c r="A26" s="30" t="n">
        <v>22</v>
      </c>
      <c r="B26" s="31" t="inlineStr">
        <is>
          <t>فني</t>
        </is>
      </c>
      <c r="C26" s="5" t="inlineStr">
        <is>
          <t>فني أجهزة طبية</t>
        </is>
      </c>
      <c r="D26" s="32" t="n">
        <v>2</v>
      </c>
      <c r="E26" s="32" t="n">
        <v>3</v>
      </c>
      <c r="F26" s="32" t="n">
        <v>3</v>
      </c>
      <c r="G26" s="32" t="n">
        <v>3</v>
      </c>
      <c r="H26" s="32" t="n">
        <v>5</v>
      </c>
      <c r="I26" s="32" t="n">
        <v>6</v>
      </c>
      <c r="J26" s="33">
        <f>IF(RMODE="تقريب لأعلى",ROUNDUP(O26,0),ROUND(O26,0))</f>
        <v/>
      </c>
      <c r="K26" s="34" t="n"/>
      <c r="L26" s="35">
        <f>K26-J26</f>
        <v/>
      </c>
      <c r="M26" s="36">
        <f>IF(J26=0,"",K26/J26)</f>
        <v/>
      </c>
      <c r="N26" s="37">
        <f>IF(J26=0,"لا ينطبق",IF(K26&gt;=J26,"مكتمل",IF(K26=0,"لا يوجد","عجز")))</f>
        <v/>
      </c>
      <c r="O26" s="38">
        <f>IF(CAP&lt;=$D$4,D26*CAP/$D$4,IF(CAP&gt;=$I$4,I26*CAP/$I$4,INDEX($D26:$I26,$D$3)+$E$3*(INDEX($D26:$I26,$D$3+1)-INDEX($D26:$I26,$D$3))))</f>
        <v/>
      </c>
      <c r="P26" s="39" t="inlineStr"/>
    </row>
    <row r="27">
      <c r="A27" s="30" t="n">
        <v>23</v>
      </c>
      <c r="B27" s="31" t="inlineStr">
        <is>
          <t>فني</t>
        </is>
      </c>
      <c r="C27" s="5" t="inlineStr">
        <is>
          <t>فني أجهزة الليزر</t>
        </is>
      </c>
      <c r="D27" s="32" t="n">
        <v>1</v>
      </c>
      <c r="E27" s="32" t="n">
        <v>1</v>
      </c>
      <c r="F27" s="32" t="n">
        <v>1</v>
      </c>
      <c r="G27" s="32" t="n">
        <v>2</v>
      </c>
      <c r="H27" s="32" t="n">
        <v>2</v>
      </c>
      <c r="I27" s="32" t="n">
        <v>2</v>
      </c>
      <c r="J27" s="33">
        <f>IF(RMODE="تقريب لأعلى",ROUNDUP(O27,0),ROUND(O27,0))</f>
        <v/>
      </c>
      <c r="K27" s="34" t="n"/>
      <c r="L27" s="35">
        <f>K27-J27</f>
        <v/>
      </c>
      <c r="M27" s="36">
        <f>IF(J27=0,"",K27/J27)</f>
        <v/>
      </c>
      <c r="N27" s="37">
        <f>IF(J27=0,"لا ينطبق",IF(K27&gt;=J27,"مكتمل",IF(K27=0,"لا يوجد","عجز")))</f>
        <v/>
      </c>
      <c r="O27" s="38">
        <f>IF(CAP&lt;=$D$4,D27*CAP/$D$4,IF(CAP&gt;=$I$4,I27*CAP/$I$4,INDEX($D27:$I27,$D$3)+$E$3*(INDEX($D27:$I27,$D$3+1)-INDEX($D27:$I27,$D$3))))</f>
        <v/>
      </c>
      <c r="P27" s="39" t="inlineStr"/>
    </row>
    <row r="28">
      <c r="A28" s="30" t="n">
        <v>24</v>
      </c>
      <c r="B28" s="31" t="inlineStr">
        <is>
          <t>فني</t>
        </is>
      </c>
      <c r="C28" s="5" t="inlineStr">
        <is>
          <t>سكرتير طبي</t>
        </is>
      </c>
      <c r="D28" s="32" t="n">
        <v>15</v>
      </c>
      <c r="E28" s="32" t="n">
        <v>20</v>
      </c>
      <c r="F28" s="32" t="n">
        <v>25</v>
      </c>
      <c r="G28" s="32" t="n">
        <v>25</v>
      </c>
      <c r="H28" s="32" t="n">
        <v>30</v>
      </c>
      <c r="I28" s="32" t="n">
        <v>30</v>
      </c>
      <c r="J28" s="33">
        <f>IF(RMODE="تقريب لأعلى",ROUNDUP(O28,0),ROUND(O28,0))</f>
        <v/>
      </c>
      <c r="K28" s="34" t="n"/>
      <c r="L28" s="35">
        <f>K28-J28</f>
        <v/>
      </c>
      <c r="M28" s="36">
        <f>IF(J28=0,"",K28/J28)</f>
        <v/>
      </c>
      <c r="N28" s="37">
        <f>IF(J28=0,"لا ينطبق",IF(K28&gt;=J28,"مكتمل",IF(K28=0,"لا يوجد","عجز")))</f>
        <v/>
      </c>
      <c r="O28" s="38">
        <f>IF(CAP&lt;=$D$4,D28*CAP/$D$4,IF(CAP&gt;=$I$4,I28*CAP/$I$4,INDEX($D28:$I28,$D$3)+$E$3*(INDEX($D28:$I28,$D$3+1)-INDEX($D28:$I28,$D$3))))</f>
        <v/>
      </c>
      <c r="P28" s="39" t="inlineStr"/>
    </row>
    <row r="29">
      <c r="A29" s="30" t="n">
        <v>25</v>
      </c>
      <c r="B29" s="31" t="inlineStr">
        <is>
          <t>فني</t>
        </is>
      </c>
      <c r="C29" s="5" t="inlineStr">
        <is>
          <t>فني معلوماتية صحية</t>
        </is>
      </c>
      <c r="D29" s="32" t="n">
        <v>8</v>
      </c>
      <c r="E29" s="32" t="n">
        <v>12</v>
      </c>
      <c r="F29" s="32" t="n">
        <v>12</v>
      </c>
      <c r="G29" s="32" t="n">
        <v>15</v>
      </c>
      <c r="H29" s="32" t="n">
        <v>20</v>
      </c>
      <c r="I29" s="32" t="n">
        <v>25</v>
      </c>
      <c r="J29" s="33">
        <f>IF(RMODE="تقريب لأعلى",ROUNDUP(O29,0),ROUND(O29,0))</f>
        <v/>
      </c>
      <c r="K29" s="34" t="n"/>
      <c r="L29" s="35">
        <f>K29-J29</f>
        <v/>
      </c>
      <c r="M29" s="36">
        <f>IF(J29=0,"",K29/J29)</f>
        <v/>
      </c>
      <c r="N29" s="37">
        <f>IF(J29=0,"لا ينطبق",IF(K29&gt;=J29,"مكتمل",IF(K29=0,"لا يوجد","عجز")))</f>
        <v/>
      </c>
      <c r="O29" s="38">
        <f>IF(CAP&lt;=$D$4,D29*CAP/$D$4,IF(CAP&gt;=$I$4,I29*CAP/$I$4,INDEX($D29:$I29,$D$3)+$E$3*(INDEX($D29:$I29,$D$3+1)-INDEX($D29:$I29,$D$3))))</f>
        <v/>
      </c>
      <c r="P29" s="39" t="inlineStr"/>
    </row>
    <row r="30">
      <c r="A30" s="30" t="n">
        <v>26</v>
      </c>
      <c r="B30" s="31" t="inlineStr">
        <is>
          <t>فني</t>
        </is>
      </c>
      <c r="C30" s="5" t="inlineStr">
        <is>
          <t>فني صحة عامة</t>
        </is>
      </c>
      <c r="D30" s="32" t="n">
        <v>1</v>
      </c>
      <c r="E30" s="32" t="n">
        <v>2</v>
      </c>
      <c r="F30" s="32" t="n">
        <v>3</v>
      </c>
      <c r="G30" s="32" t="n">
        <v>4</v>
      </c>
      <c r="H30" s="32" t="n">
        <v>5</v>
      </c>
      <c r="I30" s="32" t="n">
        <v>6</v>
      </c>
      <c r="J30" s="33">
        <f>IF(RMODE="تقريب لأعلى",ROUNDUP(O30,0),ROUND(O30,0))</f>
        <v/>
      </c>
      <c r="K30" s="34" t="n"/>
      <c r="L30" s="35">
        <f>K30-J30</f>
        <v/>
      </c>
      <c r="M30" s="36">
        <f>IF(J30=0,"",K30/J30)</f>
        <v/>
      </c>
      <c r="N30" s="37">
        <f>IF(J30=0,"لا ينطبق",IF(K30&gt;=J30,"مكتمل",IF(K30=0,"لا يوجد","عجز")))</f>
        <v/>
      </c>
      <c r="O30" s="38">
        <f>IF(CAP&lt;=$D$4,D30*CAP/$D$4,IF(CAP&gt;=$I$4,I30*CAP/$I$4,INDEX($D30:$I30,$D$3)+$E$3*(INDEX($D30:$I30,$D$3+1)-INDEX($D30:$I30,$D$3))))</f>
        <v/>
      </c>
      <c r="P30" s="39" t="inlineStr"/>
    </row>
    <row r="31">
      <c r="A31" s="30" t="n">
        <v>27</v>
      </c>
      <c r="B31" s="31" t="inlineStr">
        <is>
          <t>فني</t>
        </is>
      </c>
      <c r="C31" s="5" t="inlineStr">
        <is>
          <t>فني وبائيات</t>
        </is>
      </c>
      <c r="D31" s="32" t="n">
        <v>1</v>
      </c>
      <c r="E31" s="32" t="n">
        <v>1</v>
      </c>
      <c r="F31" s="32" t="n">
        <v>1</v>
      </c>
      <c r="G31" s="32" t="n">
        <v>2</v>
      </c>
      <c r="H31" s="32" t="n">
        <v>2</v>
      </c>
      <c r="I31" s="32" t="n">
        <v>3</v>
      </c>
      <c r="J31" s="33">
        <f>IF(RMODE="تقريب لأعلى",ROUNDUP(O31,0),ROUND(O31,0))</f>
        <v/>
      </c>
      <c r="K31" s="34" t="n"/>
      <c r="L31" s="35">
        <f>K31-J31</f>
        <v/>
      </c>
      <c r="M31" s="36">
        <f>IF(J31=0,"",K31/J31)</f>
        <v/>
      </c>
      <c r="N31" s="37">
        <f>IF(J31=0,"لا ينطبق",IF(K31&gt;=J31,"مكتمل",IF(K31=0,"لا يوجد","عجز")))</f>
        <v/>
      </c>
      <c r="O31" s="38">
        <f>IF(CAP&lt;=$D$4,D31*CAP/$D$4,IF(CAP&gt;=$I$4,I31*CAP/$I$4,INDEX($D31:$I31,$D$3)+$E$3*(INDEX($D31:$I31,$D$3+1)-INDEX($D31:$I31,$D$3))))</f>
        <v/>
      </c>
      <c r="P31" s="39" t="inlineStr"/>
    </row>
    <row r="32">
      <c r="A32" s="30" t="n">
        <v>28</v>
      </c>
      <c r="B32" s="31" t="inlineStr">
        <is>
          <t>فني</t>
        </is>
      </c>
      <c r="C32" s="5" t="inlineStr">
        <is>
          <t>فني تغذية</t>
        </is>
      </c>
      <c r="D32" s="32" t="n">
        <v>2</v>
      </c>
      <c r="E32" s="32" t="n">
        <v>3</v>
      </c>
      <c r="F32" s="32" t="n">
        <v>4</v>
      </c>
      <c r="G32" s="32" t="n">
        <v>6</v>
      </c>
      <c r="H32" s="32" t="n">
        <v>8</v>
      </c>
      <c r="I32" s="32" t="n">
        <v>10</v>
      </c>
      <c r="J32" s="33">
        <f>IF(RMODE="تقريب لأعلى",ROUNDUP(O32,0),ROUND(O32,0))</f>
        <v/>
      </c>
      <c r="K32" s="34" t="n"/>
      <c r="L32" s="35">
        <f>K32-J32</f>
        <v/>
      </c>
      <c r="M32" s="36">
        <f>IF(J32=0,"",K32/J32)</f>
        <v/>
      </c>
      <c r="N32" s="37">
        <f>IF(J32=0,"لا ينطبق",IF(K32&gt;=J32,"مكتمل",IF(K32=0,"لا يوجد","عجز")))</f>
        <v/>
      </c>
      <c r="O32" s="38">
        <f>IF(CAP&lt;=$D$4,D32*CAP/$D$4,IF(CAP&gt;=$I$4,I32*CAP/$I$4,INDEX($D32:$I32,$D$3)+$E$3*(INDEX($D32:$I32,$D$3+1)-INDEX($D32:$I32,$D$3))))</f>
        <v/>
      </c>
      <c r="P32" s="39" t="inlineStr"/>
    </row>
    <row r="33">
      <c r="A33" s="30" t="n">
        <v>29</v>
      </c>
      <c r="B33" s="31" t="inlineStr">
        <is>
          <t>فني</t>
        </is>
      </c>
      <c r="C33" s="5" t="inlineStr">
        <is>
          <t>فني ترميز طبي</t>
        </is>
      </c>
      <c r="D33" s="32" t="n">
        <v>2</v>
      </c>
      <c r="E33" s="32" t="n">
        <v>3</v>
      </c>
      <c r="F33" s="32" t="n">
        <v>3</v>
      </c>
      <c r="G33" s="32" t="n">
        <v>3</v>
      </c>
      <c r="H33" s="32" t="n">
        <v>4</v>
      </c>
      <c r="I33" s="32" t="n">
        <v>4</v>
      </c>
      <c r="J33" s="33">
        <f>IF(RMODE="تقريب لأعلى",ROUNDUP(O33,0),ROUND(O33,0))</f>
        <v/>
      </c>
      <c r="K33" s="34" t="n"/>
      <c r="L33" s="35">
        <f>K33-J33</f>
        <v/>
      </c>
      <c r="M33" s="36">
        <f>IF(J33=0,"",K33/J33)</f>
        <v/>
      </c>
      <c r="N33" s="37">
        <f>IF(J33=0,"لا ينطبق",IF(K33&gt;=J33,"مكتمل",IF(K33=0,"لا يوجد","عجز")))</f>
        <v/>
      </c>
      <c r="O33" s="38">
        <f>IF(CAP&lt;=$D$4,D33*CAP/$D$4,IF(CAP&gt;=$I$4,I33*CAP/$I$4,INDEX($D33:$I33,$D$3)+$E$3*(INDEX($D33:$I33,$D$3+1)-INDEX($D33:$I33,$D$3))))</f>
        <v/>
      </c>
      <c r="P33" s="39" t="inlineStr"/>
    </row>
    <row r="34">
      <c r="A34" s="40" t="n"/>
      <c r="B34" s="40" t="n"/>
      <c r="C34" s="40" t="inlineStr">
        <is>
          <t>المجموع (محسوب من الجدول)</t>
        </is>
      </c>
      <c r="D34" s="41">
        <f>SUM(D5:D33)</f>
        <v/>
      </c>
      <c r="E34" s="41">
        <f>SUM(E5:E33)</f>
        <v/>
      </c>
      <c r="F34" s="41">
        <f>SUM(F5:F33)</f>
        <v/>
      </c>
      <c r="G34" s="41">
        <f>SUM(G5:G33)</f>
        <v/>
      </c>
      <c r="H34" s="41">
        <f>SUM(H5:H33)</f>
        <v/>
      </c>
      <c r="I34" s="41">
        <f>SUM(I5:I33)</f>
        <v/>
      </c>
      <c r="J34" s="41">
        <f>SUM(J5:J33)</f>
        <v/>
      </c>
      <c r="K34" s="42">
        <f>SUM(K5:K33)</f>
        <v/>
      </c>
      <c r="L34" s="41">
        <f>SUM(L5:L33)</f>
        <v/>
      </c>
      <c r="M34" s="43">
        <f>IF(J34=0,"",K34/J34)</f>
        <v/>
      </c>
      <c r="N34" s="42" t="n"/>
      <c r="O34" s="42">
        <f>SUM(O5:O33)</f>
        <v/>
      </c>
      <c r="P34" s="42" t="n"/>
    </row>
    <row r="35">
      <c r="A35" s="44" t="n"/>
      <c r="B35" s="44" t="n"/>
      <c r="C35" s="44" t="inlineStr">
        <is>
          <t>المجموع المنشور في الدليل</t>
        </is>
      </c>
      <c r="D35" s="44" t="n">
        <v>186</v>
      </c>
      <c r="E35" s="44" t="n">
        <v>270</v>
      </c>
      <c r="F35" s="44" t="n">
        <v>355</v>
      </c>
      <c r="G35" s="44" t="n">
        <v>510</v>
      </c>
      <c r="H35" s="44" t="n">
        <v>680</v>
      </c>
      <c r="I35" s="44" t="n">
        <v>844</v>
      </c>
    </row>
    <row r="36">
      <c r="A36" s="44" t="n"/>
      <c r="B36" s="44" t="n"/>
      <c r="C36" s="44" t="inlineStr">
        <is>
          <t>الفرق (محسوب − منشور)</t>
        </is>
      </c>
      <c r="D36" s="44">
        <f>D34-D35</f>
        <v/>
      </c>
      <c r="E36" s="44">
        <f>E34-E35</f>
        <v/>
      </c>
      <c r="F36" s="44">
        <f>F34-F35</f>
        <v/>
      </c>
      <c r="G36" s="44">
        <f>G34-G35</f>
        <v/>
      </c>
      <c r="H36" s="44">
        <f>H34-H35</f>
        <v/>
      </c>
      <c r="I36" s="44">
        <f>I34-I35</f>
        <v/>
      </c>
      <c r="J36" s="45" t="inlineStr">
        <is>
          <t>الفرق = صف «فني ترميز طبي» الوارد في جدول الدليل دون رقم تسلسلي وغير مُدرج في مجموعه المنشور.</t>
        </is>
      </c>
    </row>
  </sheetData>
  <mergeCells count="2">
    <mergeCell ref="A1:P1"/>
    <mergeCell ref="A2:P2"/>
  </mergeCells>
  <conditionalFormatting sqref="N5:N33">
    <cfRule type="expression" priority="1" dxfId="0">
      <formula>OR(N5="عجز",N5="لا يوجد")</formula>
    </cfRule>
    <cfRule type="expression" priority="2" dxfId="1">
      <formula>N5="مكتمل"</formula>
    </cfRule>
  </conditionalFormatting>
  <pageMargins left="0.75" right="0.75" top="1" bottom="1" header="0.5" footer="0.5"/>
</worksheet>
</file>

<file path=xl/worksheets/sheet12.xml><?xml version="1.0" encoding="utf-8"?>
<worksheet xmlns="http://schemas.openxmlformats.org/spreadsheetml/2006/main">
  <sheetPr>
    <tabColor rgb="001F6F6B"/>
    <outlinePr summaryBelow="1" summaryRight="1"/>
    <pageSetUpPr/>
  </sheetPr>
  <dimension ref="A1:P14"/>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13" customWidth="1" min="10" max="10"/>
    <col width="12" customWidth="1" min="11" max="11"/>
    <col width="13" customWidth="1" min="12" max="12"/>
    <col width="10" customWidth="1" min="13" max="13"/>
    <col width="11" customWidth="1" min="14" max="14"/>
    <col width="11" customWidth="1" min="15" max="15"/>
    <col width="42" customWidth="1" min="16" max="16"/>
  </cols>
  <sheetData>
    <row r="1" ht="30" customHeight="1">
      <c r="A1" s="1" t="inlineStr">
        <is>
          <t>ولادة - الصيادلة</t>
        </is>
      </c>
    </row>
    <row r="2" ht="20" customHeight="1">
      <c r="A2" s="2" t="inlineStr">
        <is>
          <t>الملحق (2) — الصيادلة (صفحة 53)</t>
        </is>
      </c>
    </row>
    <row r="3">
      <c r="C3" s="25" t="inlineStr">
        <is>
          <t>معاملا الاستيفاء ◄</t>
        </is>
      </c>
      <c r="D3" s="26">
        <f>IFERROR(MATCH(CAP,$D$4:$I$4,1),1)</f>
        <v/>
      </c>
      <c r="E3" s="27">
        <f>IF(OR(CAP&lt;=$D$4,CAP&gt;=$I$4),0,(CAP-INDEX($D$4:$I$4,$D$3))/(INDEX($D$4:$I$4,$D$3+1)-INDEX($D$4:$I$4,$D$3)))</f>
        <v/>
      </c>
    </row>
    <row r="4" ht="42" customHeight="1">
      <c r="A4" s="28" t="inlineStr">
        <is>
          <t>م</t>
        </is>
      </c>
      <c r="B4" s="28" t="inlineStr">
        <is>
          <t>الفئة</t>
        </is>
      </c>
      <c r="C4" s="28" t="inlineStr">
        <is>
          <t>المسمى الوظيفي</t>
        </is>
      </c>
      <c r="D4" s="29" t="n">
        <v>100</v>
      </c>
      <c r="E4" s="29" t="n">
        <v>150</v>
      </c>
      <c r="F4" s="29" t="n">
        <v>200</v>
      </c>
      <c r="G4" s="29" t="n">
        <v>300</v>
      </c>
      <c r="H4" s="29" t="n">
        <v>400</v>
      </c>
      <c r="I4" s="29" t="n">
        <v>500</v>
      </c>
      <c r="J4" s="28" t="inlineStr">
        <is>
          <t>الاحتياج للسعة المدخلة</t>
        </is>
      </c>
      <c r="K4" s="28" t="inlineStr">
        <is>
          <t>الموجود فعلياً</t>
        </is>
      </c>
      <c r="L4" s="28" t="inlineStr">
        <is>
          <t>الفجوة (+فائض / -عجز)</t>
        </is>
      </c>
      <c r="M4" s="28" t="inlineStr">
        <is>
          <t>نسبة التغطية</t>
        </is>
      </c>
      <c r="N4" s="28" t="inlineStr">
        <is>
          <t>الحالة</t>
        </is>
      </c>
      <c r="O4" s="28" t="inlineStr">
        <is>
          <t>القيمة قبل التقريب</t>
        </is>
      </c>
      <c r="P4" s="28" t="inlineStr">
        <is>
          <t>ملاحظات</t>
        </is>
      </c>
    </row>
    <row r="5">
      <c r="A5" s="30" t="n">
        <v>1</v>
      </c>
      <c r="B5" s="31" t="inlineStr">
        <is>
          <t>صيدلي</t>
        </is>
      </c>
      <c r="C5" s="5" t="inlineStr">
        <is>
          <t>صيدلي استشاري إكلينيكي</t>
        </is>
      </c>
      <c r="D5" s="32" t="n">
        <v>4</v>
      </c>
      <c r="E5" s="32" t="n">
        <v>6</v>
      </c>
      <c r="F5" s="32" t="n">
        <v>8</v>
      </c>
      <c r="G5" s="32" t="n">
        <v>12</v>
      </c>
      <c r="H5" s="32" t="n">
        <v>16</v>
      </c>
      <c r="I5" s="32" t="n">
        <v>20</v>
      </c>
      <c r="J5" s="33">
        <f>IF(RMODE="تقريب لأعلى",ROUNDUP(O5,0),ROUND(O5,0))</f>
        <v/>
      </c>
      <c r="K5" s="34" t="n"/>
      <c r="L5" s="35">
        <f>K5-J5</f>
        <v/>
      </c>
      <c r="M5" s="36">
        <f>IF(J5=0,"",K5/J5)</f>
        <v/>
      </c>
      <c r="N5" s="37">
        <f>IF(J5=0,"لا ينطبق",IF(K5&gt;=J5,"مكتمل",IF(K5=0,"لا يوجد","عجز")))</f>
        <v/>
      </c>
      <c r="O5" s="38">
        <f>IF(CAP&lt;=$D$4,D5*CAP/$D$4,IF(CAP&gt;=$I$4,I5*CAP/$I$4,INDEX($D5:$I5,$D$3)+$E$3*(INDEX($D5:$I5,$D$3+1)-INDEX($D5:$I5,$D$3))))</f>
        <v/>
      </c>
      <c r="P5" s="39" t="inlineStr"/>
    </row>
    <row r="6">
      <c r="A6" s="30" t="n">
        <v>2</v>
      </c>
      <c r="B6" s="31" t="inlineStr">
        <is>
          <t>صيدلي</t>
        </is>
      </c>
      <c r="C6" s="5" t="inlineStr">
        <is>
          <t>صيدلي أول إكلينيكي</t>
        </is>
      </c>
      <c r="D6" s="32" t="n">
        <v>7</v>
      </c>
      <c r="E6" s="32" t="n">
        <v>11</v>
      </c>
      <c r="F6" s="32" t="n">
        <v>15</v>
      </c>
      <c r="G6" s="32" t="n">
        <v>22</v>
      </c>
      <c r="H6" s="32" t="n">
        <v>30</v>
      </c>
      <c r="I6" s="32" t="n">
        <v>37</v>
      </c>
      <c r="J6" s="33">
        <f>IF(RMODE="تقريب لأعلى",ROUNDUP(O6,0),ROUND(O6,0))</f>
        <v/>
      </c>
      <c r="K6" s="34" t="n"/>
      <c r="L6" s="35">
        <f>K6-J6</f>
        <v/>
      </c>
      <c r="M6" s="36">
        <f>IF(J6=0,"",K6/J6)</f>
        <v/>
      </c>
      <c r="N6" s="37">
        <f>IF(J6=0,"لا ينطبق",IF(K6&gt;=J6,"مكتمل",IF(K6=0,"لا يوجد","عجز")))</f>
        <v/>
      </c>
      <c r="O6" s="38">
        <f>IF(CAP&lt;=$D$4,D6*CAP/$D$4,IF(CAP&gt;=$I$4,I6*CAP/$I$4,INDEX($D6:$I6,$D$3)+$E$3*(INDEX($D6:$I6,$D$3+1)-INDEX($D6:$I6,$D$3))))</f>
        <v/>
      </c>
      <c r="P6" s="39" t="inlineStr"/>
    </row>
    <row r="7">
      <c r="A7" s="30" t="n">
        <v>3</v>
      </c>
      <c r="B7" s="31" t="inlineStr">
        <is>
          <t>صيدلي</t>
        </is>
      </c>
      <c r="C7" s="5" t="inlineStr">
        <is>
          <t>صيدلي إكلينيكي</t>
        </is>
      </c>
      <c r="D7" s="32" t="n">
        <v>0</v>
      </c>
      <c r="E7" s="32" t="n">
        <v>0</v>
      </c>
      <c r="F7" s="32" t="n">
        <v>0</v>
      </c>
      <c r="G7" s="32" t="n">
        <v>0</v>
      </c>
      <c r="H7" s="32" t="n">
        <v>0</v>
      </c>
      <c r="I7" s="32" t="n">
        <v>0</v>
      </c>
      <c r="J7" s="33">
        <f>IF(RMODE="تقريب لأعلى",ROUNDUP(O7,0),ROUND(O7,0))</f>
        <v/>
      </c>
      <c r="K7" s="34" t="n"/>
      <c r="L7" s="35">
        <f>K7-J7</f>
        <v/>
      </c>
      <c r="M7" s="36">
        <f>IF(J7=0,"",K7/J7)</f>
        <v/>
      </c>
      <c r="N7" s="37">
        <f>IF(J7=0,"لا ينطبق",IF(K7&gt;=J7,"مكتمل",IF(K7=0,"لا يوجد","عجز")))</f>
        <v/>
      </c>
      <c r="O7" s="38">
        <f>IF(CAP&lt;=$D$4,D7*CAP/$D$4,IF(CAP&gt;=$I$4,I7*CAP/$I$4,INDEX($D7:$I7,$D$3)+$E$3*(INDEX($D7:$I7,$D$3+1)-INDEX($D7:$I7,$D$3))))</f>
        <v/>
      </c>
      <c r="P7" s="39" t="inlineStr">
        <is>
          <t>وارد في الدليل بقيم صفرية</t>
        </is>
      </c>
    </row>
    <row r="8">
      <c r="A8" s="30" t="n">
        <v>4</v>
      </c>
      <c r="B8" s="31" t="inlineStr">
        <is>
          <t>صيدلي</t>
        </is>
      </c>
      <c r="C8" s="5" t="inlineStr">
        <is>
          <t>صيدلي استشاري</t>
        </is>
      </c>
      <c r="D8" s="32" t="n">
        <v>1</v>
      </c>
      <c r="E8" s="32" t="n">
        <v>1</v>
      </c>
      <c r="F8" s="32" t="n">
        <v>1</v>
      </c>
      <c r="G8" s="32" t="n">
        <v>1</v>
      </c>
      <c r="H8" s="32" t="n">
        <v>1</v>
      </c>
      <c r="I8" s="32" t="n">
        <v>1</v>
      </c>
      <c r="J8" s="33">
        <f>IF(RMODE="تقريب لأعلى",ROUNDUP(O8,0),ROUND(O8,0))</f>
        <v/>
      </c>
      <c r="K8" s="34" t="n"/>
      <c r="L8" s="35">
        <f>K8-J8</f>
        <v/>
      </c>
      <c r="M8" s="36">
        <f>IF(J8=0,"",K8/J8)</f>
        <v/>
      </c>
      <c r="N8" s="37">
        <f>IF(J8=0,"لا ينطبق",IF(K8&gt;=J8,"مكتمل",IF(K8=0,"لا يوجد","عجز")))</f>
        <v/>
      </c>
      <c r="O8" s="38">
        <f>IF(CAP&lt;=$D$4,D8*CAP/$D$4,IF(CAP&gt;=$I$4,I8*CAP/$I$4,INDEX($D8:$I8,$D$3)+$E$3*(INDEX($D8:$I8,$D$3+1)-INDEX($D8:$I8,$D$3))))</f>
        <v/>
      </c>
      <c r="P8" s="39" t="inlineStr"/>
    </row>
    <row r="9">
      <c r="A9" s="30" t="n">
        <v>5</v>
      </c>
      <c r="B9" s="31" t="inlineStr">
        <is>
          <t>صيدلي</t>
        </is>
      </c>
      <c r="C9" s="5" t="inlineStr">
        <is>
          <t>صيدلي أول</t>
        </is>
      </c>
      <c r="D9" s="32" t="n">
        <v>2</v>
      </c>
      <c r="E9" s="32" t="n">
        <v>2</v>
      </c>
      <c r="F9" s="32" t="n">
        <v>2</v>
      </c>
      <c r="G9" s="32" t="n">
        <v>2</v>
      </c>
      <c r="H9" s="32" t="n">
        <v>2</v>
      </c>
      <c r="I9" s="32" t="n">
        <v>2</v>
      </c>
      <c r="J9" s="33">
        <f>IF(RMODE="تقريب لأعلى",ROUNDUP(O9,0),ROUND(O9,0))</f>
        <v/>
      </c>
      <c r="K9" s="34" t="n"/>
      <c r="L9" s="35">
        <f>K9-J9</f>
        <v/>
      </c>
      <c r="M9" s="36">
        <f>IF(J9=0,"",K9/J9)</f>
        <v/>
      </c>
      <c r="N9" s="37">
        <f>IF(J9=0,"لا ينطبق",IF(K9&gt;=J9,"مكتمل",IF(K9=0,"لا يوجد","عجز")))</f>
        <v/>
      </c>
      <c r="O9" s="38">
        <f>IF(CAP&lt;=$D$4,D9*CAP/$D$4,IF(CAP&gt;=$I$4,I9*CAP/$I$4,INDEX($D9:$I9,$D$3)+$E$3*(INDEX($D9:$I9,$D$3+1)-INDEX($D9:$I9,$D$3))))</f>
        <v/>
      </c>
      <c r="P9" s="39" t="inlineStr"/>
    </row>
    <row r="10">
      <c r="A10" s="30" t="n">
        <v>6</v>
      </c>
      <c r="B10" s="31" t="inlineStr">
        <is>
          <t>صيدلي</t>
        </is>
      </c>
      <c r="C10" s="5" t="inlineStr">
        <is>
          <t>صيدلي</t>
        </is>
      </c>
      <c r="D10" s="32" t="n">
        <v>25</v>
      </c>
      <c r="E10" s="32" t="n">
        <v>37</v>
      </c>
      <c r="F10" s="32" t="n">
        <v>50</v>
      </c>
      <c r="G10" s="32" t="n">
        <v>75</v>
      </c>
      <c r="H10" s="32" t="n">
        <v>100</v>
      </c>
      <c r="I10" s="32" t="n">
        <v>125</v>
      </c>
      <c r="J10" s="33">
        <f>IF(RMODE="تقريب لأعلى",ROUNDUP(O10,0),ROUND(O10,0))</f>
        <v/>
      </c>
      <c r="K10" s="34" t="n"/>
      <c r="L10" s="35">
        <f>K10-J10</f>
        <v/>
      </c>
      <c r="M10" s="36">
        <f>IF(J10=0,"",K10/J10)</f>
        <v/>
      </c>
      <c r="N10" s="37">
        <f>IF(J10=0,"لا ينطبق",IF(K10&gt;=J10,"مكتمل",IF(K10=0,"لا يوجد","عجز")))</f>
        <v/>
      </c>
      <c r="O10" s="38">
        <f>IF(CAP&lt;=$D$4,D10*CAP/$D$4,IF(CAP&gt;=$I$4,I10*CAP/$I$4,INDEX($D10:$I10,$D$3)+$E$3*(INDEX($D10:$I10,$D$3+1)-INDEX($D10:$I10,$D$3))))</f>
        <v/>
      </c>
      <c r="P10" s="39" t="inlineStr"/>
    </row>
    <row r="11">
      <c r="A11" s="30" t="n">
        <v>7</v>
      </c>
      <c r="B11" s="31" t="inlineStr">
        <is>
          <t>صيدلي</t>
        </is>
      </c>
      <c r="C11" s="5" t="inlineStr">
        <is>
          <t>مساعد صيدلي</t>
        </is>
      </c>
      <c r="D11" s="32" t="n">
        <v>30</v>
      </c>
      <c r="E11" s="32" t="n">
        <v>45</v>
      </c>
      <c r="F11" s="32" t="n">
        <v>60</v>
      </c>
      <c r="G11" s="32" t="n">
        <v>90</v>
      </c>
      <c r="H11" s="32" t="n">
        <v>120</v>
      </c>
      <c r="I11" s="32" t="n">
        <v>150</v>
      </c>
      <c r="J11" s="33">
        <f>IF(RMODE="تقريب لأعلى",ROUNDUP(O11,0),ROUND(O11,0))</f>
        <v/>
      </c>
      <c r="K11" s="34" t="n"/>
      <c r="L11" s="35">
        <f>K11-J11</f>
        <v/>
      </c>
      <c r="M11" s="36">
        <f>IF(J11=0,"",K11/J11)</f>
        <v/>
      </c>
      <c r="N11" s="37">
        <f>IF(J11=0,"لا ينطبق",IF(K11&gt;=J11,"مكتمل",IF(K11=0,"لا يوجد","عجز")))</f>
        <v/>
      </c>
      <c r="O11" s="38">
        <f>IF(CAP&lt;=$D$4,D11*CAP/$D$4,IF(CAP&gt;=$I$4,I11*CAP/$I$4,INDEX($D11:$I11,$D$3)+$E$3*(INDEX($D11:$I11,$D$3+1)-INDEX($D11:$I11,$D$3))))</f>
        <v/>
      </c>
      <c r="P11" s="39" t="inlineStr"/>
    </row>
    <row r="12">
      <c r="A12" s="40" t="n"/>
      <c r="B12" s="40" t="n"/>
      <c r="C12" s="40" t="inlineStr">
        <is>
          <t>المجموع (محسوب من الجدول)</t>
        </is>
      </c>
      <c r="D12" s="41">
        <f>SUM(D5:D11)</f>
        <v/>
      </c>
      <c r="E12" s="41">
        <f>SUM(E5:E11)</f>
        <v/>
      </c>
      <c r="F12" s="41">
        <f>SUM(F5:F11)</f>
        <v/>
      </c>
      <c r="G12" s="41">
        <f>SUM(G5:G11)</f>
        <v/>
      </c>
      <c r="H12" s="41">
        <f>SUM(H5:H11)</f>
        <v/>
      </c>
      <c r="I12" s="41">
        <f>SUM(I5:I11)</f>
        <v/>
      </c>
      <c r="J12" s="41">
        <f>SUM(J5:J11)</f>
        <v/>
      </c>
      <c r="K12" s="42">
        <f>SUM(K5:K11)</f>
        <v/>
      </c>
      <c r="L12" s="41">
        <f>SUM(L5:L11)</f>
        <v/>
      </c>
      <c r="M12" s="43">
        <f>IF(J12=0,"",K12/J12)</f>
        <v/>
      </c>
      <c r="N12" s="42" t="n"/>
      <c r="O12" s="42">
        <f>SUM(O5:O11)</f>
        <v/>
      </c>
      <c r="P12" s="42" t="n"/>
    </row>
    <row r="13">
      <c r="A13" s="44" t="n"/>
      <c r="B13" s="44" t="n"/>
      <c r="C13" s="44" t="inlineStr">
        <is>
          <t>المجموع المنشور في الدليل</t>
        </is>
      </c>
      <c r="D13" s="44" t="n">
        <v>69</v>
      </c>
      <c r="E13" s="44" t="n">
        <v>102</v>
      </c>
      <c r="F13" s="44" t="n">
        <v>136</v>
      </c>
      <c r="G13" s="44" t="n">
        <v>202</v>
      </c>
      <c r="H13" s="44" t="n">
        <v>269</v>
      </c>
      <c r="I13" s="44" t="n">
        <v>335</v>
      </c>
    </row>
    <row r="14">
      <c r="A14" s="44" t="n"/>
      <c r="B14" s="44" t="n"/>
      <c r="C14" s="44" t="inlineStr">
        <is>
          <t>الفرق (محسوب − منشور)</t>
        </is>
      </c>
      <c r="D14" s="44">
        <f>D12-D13</f>
        <v/>
      </c>
      <c r="E14" s="44">
        <f>E12-E13</f>
        <v/>
      </c>
      <c r="F14" s="44">
        <f>F12-F13</f>
        <v/>
      </c>
      <c r="G14" s="44">
        <f>G12-G13</f>
        <v/>
      </c>
      <c r="H14" s="44">
        <f>H12-H13</f>
        <v/>
      </c>
      <c r="I14" s="44">
        <f>I12-I13</f>
        <v/>
      </c>
    </row>
  </sheetData>
  <mergeCells count="2">
    <mergeCell ref="A1:P1"/>
    <mergeCell ref="A2:P2"/>
  </mergeCells>
  <conditionalFormatting sqref="N5:N11">
    <cfRule type="expression" priority="1" dxfId="0">
      <formula>OR(N5="عجز",N5="لا يوجد")</formula>
    </cfRule>
    <cfRule type="expression" priority="2" dxfId="1">
      <formula>N5="مكتمل"</formula>
    </cfRule>
  </conditionalFormatting>
  <pageMargins left="0.75" right="0.75" top="1" bottom="1" header="0.5" footer="0.5"/>
</worksheet>
</file>

<file path=xl/worksheets/sheet13.xml><?xml version="1.0" encoding="utf-8"?>
<worksheet xmlns="http://schemas.openxmlformats.org/spreadsheetml/2006/main">
  <sheetPr>
    <tabColor rgb="001F6F6B"/>
    <outlinePr summaryBelow="1" summaryRight="1"/>
    <pageSetUpPr/>
  </sheetPr>
  <dimension ref="A1:P61"/>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13" customWidth="1" min="10" max="10"/>
    <col width="12" customWidth="1" min="11" max="11"/>
    <col width="13" customWidth="1" min="12" max="12"/>
    <col width="10" customWidth="1" min="13" max="13"/>
    <col width="11" customWidth="1" min="14" max="14"/>
    <col width="11" customWidth="1" min="15" max="15"/>
    <col width="42" customWidth="1" min="16" max="16"/>
  </cols>
  <sheetData>
    <row r="1" ht="30" customHeight="1">
      <c r="A1" s="1" t="inlineStr">
        <is>
          <t>ولادة - الإداريون</t>
        </is>
      </c>
    </row>
    <row r="2" ht="20" customHeight="1">
      <c r="A2" s="2" t="inlineStr">
        <is>
          <t>الملحق (2) — الإداريون (صفحات 53-54)</t>
        </is>
      </c>
    </row>
    <row r="3">
      <c r="C3" s="25" t="inlineStr">
        <is>
          <t>معاملا الاستيفاء ◄</t>
        </is>
      </c>
      <c r="D3" s="26">
        <f>IFERROR(MATCH(CAP,$D$4:$I$4,1),1)</f>
        <v/>
      </c>
      <c r="E3" s="27">
        <f>IF(OR(CAP&lt;=$D$4,CAP&gt;=$I$4),0,(CAP-INDEX($D$4:$I$4,$D$3))/(INDEX($D$4:$I$4,$D$3+1)-INDEX($D$4:$I$4,$D$3)))</f>
        <v/>
      </c>
    </row>
    <row r="4" ht="42" customHeight="1">
      <c r="A4" s="28" t="inlineStr">
        <is>
          <t>م</t>
        </is>
      </c>
      <c r="B4" s="28" t="inlineStr">
        <is>
          <t>الفئة</t>
        </is>
      </c>
      <c r="C4" s="28" t="inlineStr">
        <is>
          <t>المسمى الوظيفي</t>
        </is>
      </c>
      <c r="D4" s="29" t="n">
        <v>100</v>
      </c>
      <c r="E4" s="29" t="n">
        <v>150</v>
      </c>
      <c r="F4" s="29" t="n">
        <v>200</v>
      </c>
      <c r="G4" s="29" t="n">
        <v>300</v>
      </c>
      <c r="H4" s="29" t="n">
        <v>400</v>
      </c>
      <c r="I4" s="29" t="n">
        <v>500</v>
      </c>
      <c r="J4" s="28" t="inlineStr">
        <is>
          <t>الاحتياج للسعة المدخلة</t>
        </is>
      </c>
      <c r="K4" s="28" t="inlineStr">
        <is>
          <t>الموجود فعلياً</t>
        </is>
      </c>
      <c r="L4" s="28" t="inlineStr">
        <is>
          <t>الفجوة (+فائض / -عجز)</t>
        </is>
      </c>
      <c r="M4" s="28" t="inlineStr">
        <is>
          <t>نسبة التغطية</t>
        </is>
      </c>
      <c r="N4" s="28" t="inlineStr">
        <is>
          <t>الحالة</t>
        </is>
      </c>
      <c r="O4" s="28" t="inlineStr">
        <is>
          <t>القيمة قبل التقريب</t>
        </is>
      </c>
      <c r="P4" s="28" t="inlineStr">
        <is>
          <t>ملاحظات</t>
        </is>
      </c>
    </row>
    <row r="5">
      <c r="A5" s="30" t="n">
        <v>1</v>
      </c>
      <c r="B5" s="31" t="inlineStr">
        <is>
          <t>إداري</t>
        </is>
      </c>
      <c r="C5" s="5" t="inlineStr">
        <is>
          <t>سكرتير</t>
        </is>
      </c>
      <c r="D5" s="32" t="n">
        <v>1</v>
      </c>
      <c r="E5" s="32" t="n">
        <v>1</v>
      </c>
      <c r="F5" s="32" t="n">
        <v>1</v>
      </c>
      <c r="G5" s="32" t="n">
        <v>1</v>
      </c>
      <c r="H5" s="32" t="n">
        <v>12</v>
      </c>
      <c r="I5" s="32" t="n">
        <v>14</v>
      </c>
      <c r="J5" s="33">
        <f>IF(RMODE="تقريب لأعلى",ROUNDUP(O5,0),ROUND(O5,0))</f>
        <v/>
      </c>
      <c r="K5" s="34" t="n"/>
      <c r="L5" s="35">
        <f>K5-J5</f>
        <v/>
      </c>
      <c r="M5" s="36">
        <f>IF(J5=0,"",K5/J5)</f>
        <v/>
      </c>
      <c r="N5" s="37">
        <f>IF(J5=0,"لا ينطبق",IF(K5&gt;=J5,"مكتمل",IF(K5=0,"لا يوجد","عجز")))</f>
        <v/>
      </c>
      <c r="O5" s="38">
        <f>IF(CAP&lt;=$D$4,D5*CAP/$D$4,IF(CAP&gt;=$I$4,I5*CAP/$I$4,INDEX($D5:$I5,$D$3)+$E$3*(INDEX($D5:$I5,$D$3+1)-INDEX($D5:$I5,$D$3))))</f>
        <v/>
      </c>
      <c r="P5" s="39" t="inlineStr"/>
    </row>
    <row r="6">
      <c r="A6" s="30" t="n">
        <v>2</v>
      </c>
      <c r="B6" s="31" t="inlineStr">
        <is>
          <t>إداري</t>
        </is>
      </c>
      <c r="C6" s="5" t="inlineStr">
        <is>
          <t>مندوب مشتريات</t>
        </is>
      </c>
      <c r="D6" s="32" t="n">
        <v>2</v>
      </c>
      <c r="E6" s="32" t="n">
        <v>2</v>
      </c>
      <c r="F6" s="32" t="n">
        <v>2</v>
      </c>
      <c r="G6" s="32" t="n">
        <v>2</v>
      </c>
      <c r="H6" s="32" t="n">
        <v>3</v>
      </c>
      <c r="I6" s="32" t="n">
        <v>4</v>
      </c>
      <c r="J6" s="33">
        <f>IF(RMODE="تقريب لأعلى",ROUNDUP(O6,0),ROUND(O6,0))</f>
        <v/>
      </c>
      <c r="K6" s="34" t="n"/>
      <c r="L6" s="35">
        <f>K6-J6</f>
        <v/>
      </c>
      <c r="M6" s="36">
        <f>IF(J6=0,"",K6/J6)</f>
        <v/>
      </c>
      <c r="N6" s="37">
        <f>IF(J6=0,"لا ينطبق",IF(K6&gt;=J6,"مكتمل",IF(K6=0,"لا يوجد","عجز")))</f>
        <v/>
      </c>
      <c r="O6" s="38">
        <f>IF(CAP&lt;=$D$4,D6*CAP/$D$4,IF(CAP&gt;=$I$4,I6*CAP/$I$4,INDEX($D6:$I6,$D$3)+$E$3*(INDEX($D6:$I6,$D$3+1)-INDEX($D6:$I6,$D$3))))</f>
        <v/>
      </c>
      <c r="P6" s="39" t="inlineStr"/>
    </row>
    <row r="7">
      <c r="A7" s="30" t="n">
        <v>3</v>
      </c>
      <c r="B7" s="31" t="inlineStr">
        <is>
          <t>إداري</t>
        </is>
      </c>
      <c r="C7" s="5" t="inlineStr">
        <is>
          <t>أمين صندوق</t>
        </is>
      </c>
      <c r="D7" s="32" t="n">
        <v>1</v>
      </c>
      <c r="E7" s="32" t="n">
        <v>1</v>
      </c>
      <c r="F7" s="32" t="n">
        <v>1</v>
      </c>
      <c r="G7" s="32" t="n">
        <v>1</v>
      </c>
      <c r="H7" s="32" t="n">
        <v>1</v>
      </c>
      <c r="I7" s="32" t="n">
        <v>1</v>
      </c>
      <c r="J7" s="33">
        <f>IF(RMODE="تقريب لأعلى",ROUNDUP(O7,0),ROUND(O7,0))</f>
        <v/>
      </c>
      <c r="K7" s="34" t="n"/>
      <c r="L7" s="35">
        <f>K7-J7</f>
        <v/>
      </c>
      <c r="M7" s="36">
        <f>IF(J7=0,"",K7/J7)</f>
        <v/>
      </c>
      <c r="N7" s="37">
        <f>IF(J7=0,"لا ينطبق",IF(K7&gt;=J7,"مكتمل",IF(K7=0,"لا يوجد","عجز")))</f>
        <v/>
      </c>
      <c r="O7" s="38">
        <f>IF(CAP&lt;=$D$4,D7*CAP/$D$4,IF(CAP&gt;=$I$4,I7*CAP/$I$4,INDEX($D7:$I7,$D$3)+$E$3*(INDEX($D7:$I7,$D$3+1)-INDEX($D7:$I7,$D$3))))</f>
        <v/>
      </c>
      <c r="P7" s="39" t="inlineStr"/>
    </row>
    <row r="8">
      <c r="A8" s="30" t="n">
        <v>4</v>
      </c>
      <c r="B8" s="31" t="inlineStr">
        <is>
          <t>إداري</t>
        </is>
      </c>
      <c r="C8" s="5" t="inlineStr">
        <is>
          <t>مساعد إداري *</t>
        </is>
      </c>
      <c r="D8" s="32" t="n">
        <v>2</v>
      </c>
      <c r="E8" s="32" t="n">
        <v>2</v>
      </c>
      <c r="F8" s="32" t="n">
        <v>3</v>
      </c>
      <c r="G8" s="32" t="n">
        <v>3</v>
      </c>
      <c r="H8" s="32" t="n">
        <v>4</v>
      </c>
      <c r="I8" s="32" t="n">
        <v>4</v>
      </c>
      <c r="J8" s="33">
        <f>IF(RMODE="تقريب لأعلى",ROUNDUP(O8,0),ROUND(O8,0))</f>
        <v/>
      </c>
      <c r="K8" s="34" t="n"/>
      <c r="L8" s="35">
        <f>K8-J8</f>
        <v/>
      </c>
      <c r="M8" s="36">
        <f>IF(J8=0,"",K8/J8)</f>
        <v/>
      </c>
      <c r="N8" s="37">
        <f>IF(J8=0,"لا ينطبق",IF(K8&gt;=J8,"مكتمل",IF(K8=0,"لا يوجد","عجز")))</f>
        <v/>
      </c>
      <c r="O8" s="38">
        <f>IF(CAP&lt;=$D$4,D8*CAP/$D$4,IF(CAP&gt;=$I$4,I8*CAP/$I$4,INDEX($D8:$I8,$D$3)+$E$3*(INDEX($D8:$I8,$D$3+1)-INDEX($D8:$I8,$D$3))))</f>
        <v/>
      </c>
      <c r="P8" s="39" t="inlineStr">
        <is>
          <t>* يشمل (كاتب، كاتب جناح، ومشغل حاسب آلي) — إيضاح 32</t>
        </is>
      </c>
    </row>
    <row r="9">
      <c r="A9" s="30" t="n">
        <v>5</v>
      </c>
      <c r="B9" s="31" t="inlineStr">
        <is>
          <t>إداري</t>
        </is>
      </c>
      <c r="C9" s="5" t="inlineStr">
        <is>
          <t>أمين مستودع</t>
        </is>
      </c>
      <c r="D9" s="32" t="n">
        <v>2</v>
      </c>
      <c r="E9" s="32" t="n">
        <v>2</v>
      </c>
      <c r="F9" s="32" t="n">
        <v>3</v>
      </c>
      <c r="G9" s="32" t="n">
        <v>4</v>
      </c>
      <c r="H9" s="32" t="n">
        <v>6</v>
      </c>
      <c r="I9" s="32" t="n">
        <v>6</v>
      </c>
      <c r="J9" s="33">
        <f>IF(RMODE="تقريب لأعلى",ROUNDUP(O9,0),ROUND(O9,0))</f>
        <v/>
      </c>
      <c r="K9" s="34" t="n"/>
      <c r="L9" s="35">
        <f>K9-J9</f>
        <v/>
      </c>
      <c r="M9" s="36">
        <f>IF(J9=0,"",K9/J9)</f>
        <v/>
      </c>
      <c r="N9" s="37">
        <f>IF(J9=0,"لا ينطبق",IF(K9&gt;=J9,"مكتمل",IF(K9=0,"لا يوجد","عجز")))</f>
        <v/>
      </c>
      <c r="O9" s="38">
        <f>IF(CAP&lt;=$D$4,D9*CAP/$D$4,IF(CAP&gt;=$I$4,I9*CAP/$I$4,INDEX($D9:$I9,$D$3)+$E$3*(INDEX($D9:$I9,$D$3+1)-INDEX($D9:$I9,$D$3))))</f>
        <v/>
      </c>
      <c r="P9" s="39" t="inlineStr"/>
    </row>
    <row r="10">
      <c r="A10" s="30" t="n">
        <v>6</v>
      </c>
      <c r="B10" s="31" t="inlineStr">
        <is>
          <t>إداري</t>
        </is>
      </c>
      <c r="C10" s="5" t="inlineStr">
        <is>
          <t>فني إحصاء طبي</t>
        </is>
      </c>
      <c r="D10" s="32" t="n">
        <v>3</v>
      </c>
      <c r="E10" s="32" t="n">
        <v>4</v>
      </c>
      <c r="F10" s="32" t="n">
        <v>4</v>
      </c>
      <c r="G10" s="32" t="n">
        <v>4</v>
      </c>
      <c r="H10" s="32" t="n">
        <v>6</v>
      </c>
      <c r="I10" s="32" t="n">
        <v>8</v>
      </c>
      <c r="J10" s="33">
        <f>IF(RMODE="تقريب لأعلى",ROUNDUP(O10,0),ROUND(O10,0))</f>
        <v/>
      </c>
      <c r="K10" s="34" t="n"/>
      <c r="L10" s="35">
        <f>K10-J10</f>
        <v/>
      </c>
      <c r="M10" s="36">
        <f>IF(J10=0,"",K10/J10)</f>
        <v/>
      </c>
      <c r="N10" s="37">
        <f>IF(J10=0,"لا ينطبق",IF(K10&gt;=J10,"مكتمل",IF(K10=0,"لا يوجد","عجز")))</f>
        <v/>
      </c>
      <c r="O10" s="38">
        <f>IF(CAP&lt;=$D$4,D10*CAP/$D$4,IF(CAP&gt;=$I$4,I10*CAP/$I$4,INDEX($D10:$I10,$D$3)+$E$3*(INDEX($D10:$I10,$D$3+1)-INDEX($D10:$I10,$D$3))))</f>
        <v/>
      </c>
      <c r="P10" s="39" t="inlineStr"/>
    </row>
    <row r="11">
      <c r="A11" s="30" t="n">
        <v>7</v>
      </c>
      <c r="B11" s="31" t="inlineStr">
        <is>
          <t>إداري</t>
        </is>
      </c>
      <c r="C11" s="5" t="inlineStr">
        <is>
          <t>مدير مالي</t>
        </is>
      </c>
      <c r="D11" s="32" t="n">
        <v>1</v>
      </c>
      <c r="E11" s="32" t="n">
        <v>1</v>
      </c>
      <c r="F11" s="32" t="n">
        <v>1</v>
      </c>
      <c r="G11" s="32" t="n">
        <v>1</v>
      </c>
      <c r="H11" s="32" t="n">
        <v>1</v>
      </c>
      <c r="I11" s="32" t="n">
        <v>2</v>
      </c>
      <c r="J11" s="33">
        <f>IF(RMODE="تقريب لأعلى",ROUNDUP(O11,0),ROUND(O11,0))</f>
        <v/>
      </c>
      <c r="K11" s="34" t="n"/>
      <c r="L11" s="35">
        <f>K11-J11</f>
        <v/>
      </c>
      <c r="M11" s="36">
        <f>IF(J11=0,"",K11/J11)</f>
        <v/>
      </c>
      <c r="N11" s="37">
        <f>IF(J11=0,"لا ينطبق",IF(K11&gt;=J11,"مكتمل",IF(K11=0,"لا يوجد","عجز")))</f>
        <v/>
      </c>
      <c r="O11" s="38">
        <f>IF(CAP&lt;=$D$4,D11*CAP/$D$4,IF(CAP&gt;=$I$4,I11*CAP/$I$4,INDEX($D11:$I11,$D$3)+$E$3*(INDEX($D11:$I11,$D$3+1)-INDEX($D11:$I11,$D$3))))</f>
        <v/>
      </c>
      <c r="P11" s="39" t="inlineStr"/>
    </row>
    <row r="12">
      <c r="A12" s="30" t="n">
        <v>8</v>
      </c>
      <c r="B12" s="31" t="inlineStr">
        <is>
          <t>إداري</t>
        </is>
      </c>
      <c r="C12" s="5" t="inlineStr">
        <is>
          <t>مدير حسابات</t>
        </is>
      </c>
      <c r="D12" s="32" t="n">
        <v>1</v>
      </c>
      <c r="E12" s="32" t="n">
        <v>1</v>
      </c>
      <c r="F12" s="32" t="n">
        <v>1</v>
      </c>
      <c r="G12" s="32" t="n">
        <v>1</v>
      </c>
      <c r="H12" s="32" t="n">
        <v>2</v>
      </c>
      <c r="I12" s="32" t="n">
        <v>2</v>
      </c>
      <c r="J12" s="33">
        <f>IF(RMODE="تقريب لأعلى",ROUNDUP(O12,0),ROUND(O12,0))</f>
        <v/>
      </c>
      <c r="K12" s="34" t="n"/>
      <c r="L12" s="35">
        <f>K12-J12</f>
        <v/>
      </c>
      <c r="M12" s="36">
        <f>IF(J12=0,"",K12/J12)</f>
        <v/>
      </c>
      <c r="N12" s="37">
        <f>IF(J12=0,"لا ينطبق",IF(K12&gt;=J12,"مكتمل",IF(K12=0,"لا يوجد","عجز")))</f>
        <v/>
      </c>
      <c r="O12" s="38">
        <f>IF(CAP&lt;=$D$4,D12*CAP/$D$4,IF(CAP&gt;=$I$4,I12*CAP/$I$4,INDEX($D12:$I12,$D$3)+$E$3*(INDEX($D12:$I12,$D$3+1)-INDEX($D12:$I12,$D$3))))</f>
        <v/>
      </c>
      <c r="P12" s="39" t="inlineStr"/>
    </row>
    <row r="13">
      <c r="A13" s="30" t="n">
        <v>9</v>
      </c>
      <c r="B13" s="31" t="inlineStr">
        <is>
          <t>إداري</t>
        </is>
      </c>
      <c r="C13" s="5" t="inlineStr">
        <is>
          <t>محاسب</t>
        </is>
      </c>
      <c r="D13" s="32" t="n">
        <v>1</v>
      </c>
      <c r="E13" s="32" t="n">
        <v>1</v>
      </c>
      <c r="F13" s="32" t="n">
        <v>1</v>
      </c>
      <c r="G13" s="32" t="n">
        <v>1</v>
      </c>
      <c r="H13" s="32" t="n">
        <v>1</v>
      </c>
      <c r="I13" s="32" t="n">
        <v>1</v>
      </c>
      <c r="J13" s="33">
        <f>IF(RMODE="تقريب لأعلى",ROUNDUP(O13,0),ROUND(O13,0))</f>
        <v/>
      </c>
      <c r="K13" s="34" t="n"/>
      <c r="L13" s="35">
        <f>K13-J13</f>
        <v/>
      </c>
      <c r="M13" s="36">
        <f>IF(J13=0,"",K13/J13)</f>
        <v/>
      </c>
      <c r="N13" s="37">
        <f>IF(J13=0,"لا ينطبق",IF(K13&gt;=J13,"مكتمل",IF(K13=0,"لا يوجد","عجز")))</f>
        <v/>
      </c>
      <c r="O13" s="38">
        <f>IF(CAP&lt;=$D$4,D13*CAP/$D$4,IF(CAP&gt;=$I$4,I13*CAP/$I$4,INDEX($D13:$I13,$D$3)+$E$3*(INDEX($D13:$I13,$D$3+1)-INDEX($D13:$I13,$D$3))))</f>
        <v/>
      </c>
      <c r="P13" s="39" t="inlineStr"/>
    </row>
    <row r="14">
      <c r="A14" s="30" t="n">
        <v>10</v>
      </c>
      <c r="B14" s="31" t="inlineStr">
        <is>
          <t>إداري</t>
        </is>
      </c>
      <c r="C14" s="5" t="inlineStr">
        <is>
          <t>محاسب مساعد</t>
        </is>
      </c>
      <c r="D14" s="32" t="n">
        <v>2</v>
      </c>
      <c r="E14" s="32" t="n">
        <v>2</v>
      </c>
      <c r="F14" s="32" t="n">
        <v>3</v>
      </c>
      <c r="G14" s="32" t="n">
        <v>3</v>
      </c>
      <c r="H14" s="32" t="n">
        <v>4</v>
      </c>
      <c r="I14" s="32" t="n">
        <v>4</v>
      </c>
      <c r="J14" s="33">
        <f>IF(RMODE="تقريب لأعلى",ROUNDUP(O14,0),ROUND(O14,0))</f>
        <v/>
      </c>
      <c r="K14" s="34" t="n"/>
      <c r="L14" s="35">
        <f>K14-J14</f>
        <v/>
      </c>
      <c r="M14" s="36">
        <f>IF(J14=0,"",K14/J14)</f>
        <v/>
      </c>
      <c r="N14" s="37">
        <f>IF(J14=0,"لا ينطبق",IF(K14&gt;=J14,"مكتمل",IF(K14=0,"لا يوجد","عجز")))</f>
        <v/>
      </c>
      <c r="O14" s="38">
        <f>IF(CAP&lt;=$D$4,D14*CAP/$D$4,IF(CAP&gt;=$I$4,I14*CAP/$I$4,INDEX($D14:$I14,$D$3)+$E$3*(INDEX($D14:$I14,$D$3+1)-INDEX($D14:$I14,$D$3))))</f>
        <v/>
      </c>
      <c r="P14" s="39" t="inlineStr"/>
    </row>
    <row r="15">
      <c r="A15" s="30" t="n">
        <v>11</v>
      </c>
      <c r="B15" s="31" t="inlineStr">
        <is>
          <t>إداري</t>
        </is>
      </c>
      <c r="C15" s="5" t="inlineStr">
        <is>
          <t>مساعد حسابات</t>
        </is>
      </c>
      <c r="D15" s="32" t="n">
        <v>2</v>
      </c>
      <c r="E15" s="32" t="n">
        <v>2</v>
      </c>
      <c r="F15" s="32" t="n">
        <v>3</v>
      </c>
      <c r="G15" s="32" t="n">
        <v>3</v>
      </c>
      <c r="H15" s="32" t="n">
        <v>4</v>
      </c>
      <c r="I15" s="32" t="n">
        <v>4</v>
      </c>
      <c r="J15" s="33">
        <f>IF(RMODE="تقريب لأعلى",ROUNDUP(O15,0),ROUND(O15,0))</f>
        <v/>
      </c>
      <c r="K15" s="34" t="n"/>
      <c r="L15" s="35">
        <f>K15-J15</f>
        <v/>
      </c>
      <c r="M15" s="36">
        <f>IF(J15=0,"",K15/J15)</f>
        <v/>
      </c>
      <c r="N15" s="37">
        <f>IF(J15=0,"لا ينطبق",IF(K15&gt;=J15,"مكتمل",IF(K15=0,"لا يوجد","عجز")))</f>
        <v/>
      </c>
      <c r="O15" s="38">
        <f>IF(CAP&lt;=$D$4,D15*CAP/$D$4,IF(CAP&gt;=$I$4,I15*CAP/$I$4,INDEX($D15:$I15,$D$3)+$E$3*(INDEX($D15:$I15,$D$3+1)-INDEX($D15:$I15,$D$3))))</f>
        <v/>
      </c>
      <c r="P15" s="39" t="inlineStr"/>
    </row>
    <row r="16">
      <c r="A16" s="30" t="n">
        <v>12</v>
      </c>
      <c r="B16" s="31" t="inlineStr">
        <is>
          <t>إداري</t>
        </is>
      </c>
      <c r="C16" s="5" t="inlineStr">
        <is>
          <t>أخصائي مشتريات</t>
        </is>
      </c>
      <c r="D16" s="32" t="n">
        <v>1</v>
      </c>
      <c r="E16" s="32" t="n">
        <v>1</v>
      </c>
      <c r="F16" s="32" t="n">
        <v>1</v>
      </c>
      <c r="G16" s="32" t="n">
        <v>1</v>
      </c>
      <c r="H16" s="32" t="n">
        <v>3</v>
      </c>
      <c r="I16" s="32" t="n">
        <v>3</v>
      </c>
      <c r="J16" s="33">
        <f>IF(RMODE="تقريب لأعلى",ROUNDUP(O16,0),ROUND(O16,0))</f>
        <v/>
      </c>
      <c r="K16" s="34" t="n"/>
      <c r="L16" s="35">
        <f>K16-J16</f>
        <v/>
      </c>
      <c r="M16" s="36">
        <f>IF(J16=0,"",K16/J16)</f>
        <v/>
      </c>
      <c r="N16" s="37">
        <f>IF(J16=0,"لا ينطبق",IF(K16&gt;=J16,"مكتمل",IF(K16=0,"لا يوجد","عجز")))</f>
        <v/>
      </c>
      <c r="O16" s="38">
        <f>IF(CAP&lt;=$D$4,D16*CAP/$D$4,IF(CAP&gt;=$I$4,I16*CAP/$I$4,INDEX($D16:$I16,$D$3)+$E$3*(INDEX($D16:$I16,$D$3+1)-INDEX($D16:$I16,$D$3))))</f>
        <v/>
      </c>
      <c r="P16" s="39" t="inlineStr"/>
    </row>
    <row r="17">
      <c r="A17" s="30" t="n">
        <v>13</v>
      </c>
      <c r="B17" s="31" t="inlineStr">
        <is>
          <t>إداري</t>
        </is>
      </c>
      <c r="C17" s="5" t="inlineStr">
        <is>
          <t>موظف صندوق محاسبة</t>
        </is>
      </c>
      <c r="D17" s="32" t="n">
        <v>1</v>
      </c>
      <c r="E17" s="32" t="n">
        <v>1</v>
      </c>
      <c r="F17" s="32" t="n">
        <v>2</v>
      </c>
      <c r="G17" s="32" t="n">
        <v>2</v>
      </c>
      <c r="H17" s="32" t="n">
        <v>2</v>
      </c>
      <c r="I17" s="32" t="n">
        <v>3</v>
      </c>
      <c r="J17" s="33">
        <f>IF(RMODE="تقريب لأعلى",ROUNDUP(O17,0),ROUND(O17,0))</f>
        <v/>
      </c>
      <c r="K17" s="34" t="n"/>
      <c r="L17" s="35">
        <f>K17-J17</f>
        <v/>
      </c>
      <c r="M17" s="36">
        <f>IF(J17=0,"",K17/J17)</f>
        <v/>
      </c>
      <c r="N17" s="37">
        <f>IF(J17=0,"لا ينطبق",IF(K17&gt;=J17,"مكتمل",IF(K17=0,"لا يوجد","عجز")))</f>
        <v/>
      </c>
      <c r="O17" s="38">
        <f>IF(CAP&lt;=$D$4,D17*CAP/$D$4,IF(CAP&gt;=$I$4,I17*CAP/$I$4,INDEX($D17:$I17,$D$3)+$E$3*(INDEX($D17:$I17,$D$3+1)-INDEX($D17:$I17,$D$3))))</f>
        <v/>
      </c>
      <c r="P17" s="39" t="inlineStr"/>
    </row>
    <row r="18">
      <c r="A18" s="30" t="n">
        <v>14</v>
      </c>
      <c r="B18" s="31" t="inlineStr">
        <is>
          <t>إداري</t>
        </is>
      </c>
      <c r="C18" s="5" t="inlineStr">
        <is>
          <t>أخصائي موازنة مالية</t>
        </is>
      </c>
      <c r="D18" s="32" t="n">
        <v>1</v>
      </c>
      <c r="E18" s="32" t="n">
        <v>1</v>
      </c>
      <c r="F18" s="32" t="n">
        <v>2</v>
      </c>
      <c r="G18" s="32" t="n">
        <v>2</v>
      </c>
      <c r="H18" s="32" t="n">
        <v>2</v>
      </c>
      <c r="I18" s="32" t="n">
        <v>2</v>
      </c>
      <c r="J18" s="33">
        <f>IF(RMODE="تقريب لأعلى",ROUNDUP(O18,0),ROUND(O18,0))</f>
        <v/>
      </c>
      <c r="K18" s="34" t="n"/>
      <c r="L18" s="35">
        <f>K18-J18</f>
        <v/>
      </c>
      <c r="M18" s="36">
        <f>IF(J18=0,"",K18/J18)</f>
        <v/>
      </c>
      <c r="N18" s="37">
        <f>IF(J18=0,"لا ينطبق",IF(K18&gt;=J18,"مكتمل",IF(K18=0,"لا يوجد","عجز")))</f>
        <v/>
      </c>
      <c r="O18" s="38">
        <f>IF(CAP&lt;=$D$4,D18*CAP/$D$4,IF(CAP&gt;=$I$4,I18*CAP/$I$4,INDEX($D18:$I18,$D$3)+$E$3*(INDEX($D18:$I18,$D$3+1)-INDEX($D18:$I18,$D$3))))</f>
        <v/>
      </c>
      <c r="P18" s="39" t="inlineStr"/>
    </row>
    <row r="19">
      <c r="A19" s="30" t="n">
        <v>15</v>
      </c>
      <c r="B19" s="31" t="inlineStr">
        <is>
          <t>إداري</t>
        </is>
      </c>
      <c r="C19" s="5" t="inlineStr">
        <is>
          <t>أخصائي تخطيط مالي</t>
        </is>
      </c>
      <c r="D19" s="32" t="n">
        <v>1</v>
      </c>
      <c r="E19" s="32" t="n">
        <v>1</v>
      </c>
      <c r="F19" s="32" t="n">
        <v>1</v>
      </c>
      <c r="G19" s="32" t="n">
        <v>1</v>
      </c>
      <c r="H19" s="32" t="n">
        <v>2</v>
      </c>
      <c r="I19" s="32" t="n">
        <v>2</v>
      </c>
      <c r="J19" s="33">
        <f>IF(RMODE="تقريب لأعلى",ROUNDUP(O19,0),ROUND(O19,0))</f>
        <v/>
      </c>
      <c r="K19" s="34" t="n"/>
      <c r="L19" s="35">
        <f>K19-J19</f>
        <v/>
      </c>
      <c r="M19" s="36">
        <f>IF(J19=0,"",K19/J19)</f>
        <v/>
      </c>
      <c r="N19" s="37">
        <f>IF(J19=0,"لا ينطبق",IF(K19&gt;=J19,"مكتمل",IF(K19=0,"لا يوجد","عجز")))</f>
        <v/>
      </c>
      <c r="O19" s="38">
        <f>IF(CAP&lt;=$D$4,D19*CAP/$D$4,IF(CAP&gt;=$I$4,I19*CAP/$I$4,INDEX($D19:$I19,$D$3)+$E$3*(INDEX($D19:$I19,$D$3+1)-INDEX($D19:$I19,$D$3))))</f>
        <v/>
      </c>
      <c r="P19" s="39" t="inlineStr"/>
    </row>
    <row r="20">
      <c r="A20" s="30" t="n">
        <v>16</v>
      </c>
      <c r="B20" s="31" t="inlineStr">
        <is>
          <t>إداري</t>
        </is>
      </c>
      <c r="C20" s="5" t="inlineStr">
        <is>
          <t>أخصائي إيرادات حكومية</t>
        </is>
      </c>
      <c r="D20" s="32" t="n">
        <v>1</v>
      </c>
      <c r="E20" s="32" t="n">
        <v>1</v>
      </c>
      <c r="F20" s="32" t="n">
        <v>1</v>
      </c>
      <c r="G20" s="32" t="n">
        <v>2</v>
      </c>
      <c r="H20" s="32" t="n">
        <v>2</v>
      </c>
      <c r="I20" s="32" t="n">
        <v>2</v>
      </c>
      <c r="J20" s="33">
        <f>IF(RMODE="تقريب لأعلى",ROUNDUP(O20,0),ROUND(O20,0))</f>
        <v/>
      </c>
      <c r="K20" s="34" t="n"/>
      <c r="L20" s="35">
        <f>K20-J20</f>
        <v/>
      </c>
      <c r="M20" s="36">
        <f>IF(J20=0,"",K20/J20)</f>
        <v/>
      </c>
      <c r="N20" s="37">
        <f>IF(J20=0,"لا ينطبق",IF(K20&gt;=J20,"مكتمل",IF(K20=0,"لا يوجد","عجز")))</f>
        <v/>
      </c>
      <c r="O20" s="38">
        <f>IF(CAP&lt;=$D$4,D20*CAP/$D$4,IF(CAP&gt;=$I$4,I20*CAP/$I$4,INDEX($D20:$I20,$D$3)+$E$3*(INDEX($D20:$I20,$D$3+1)-INDEX($D20:$I20,$D$3))))</f>
        <v/>
      </c>
      <c r="P20" s="39" t="inlineStr"/>
    </row>
    <row r="21">
      <c r="A21" s="30" t="n">
        <v>17</v>
      </c>
      <c r="B21" s="31" t="inlineStr">
        <is>
          <t>إداري</t>
        </is>
      </c>
      <c r="C21" s="5" t="inlineStr">
        <is>
          <t>أخصائي إداري</t>
        </is>
      </c>
      <c r="D21" s="32" t="n">
        <v>1</v>
      </c>
      <c r="E21" s="32" t="n">
        <v>1</v>
      </c>
      <c r="F21" s="32" t="n">
        <v>2</v>
      </c>
      <c r="G21" s="32" t="n">
        <v>2</v>
      </c>
      <c r="H21" s="32" t="n">
        <v>2</v>
      </c>
      <c r="I21" s="32" t="n">
        <v>3</v>
      </c>
      <c r="J21" s="33">
        <f>IF(RMODE="تقريب لأعلى",ROUNDUP(O21,0),ROUND(O21,0))</f>
        <v/>
      </c>
      <c r="K21" s="34" t="n"/>
      <c r="L21" s="35">
        <f>K21-J21</f>
        <v/>
      </c>
      <c r="M21" s="36">
        <f>IF(J21=0,"",K21/J21)</f>
        <v/>
      </c>
      <c r="N21" s="37">
        <f>IF(J21=0,"لا ينطبق",IF(K21&gt;=J21,"مكتمل",IF(K21=0,"لا يوجد","عجز")))</f>
        <v/>
      </c>
      <c r="O21" s="38">
        <f>IF(CAP&lt;=$D$4,D21*CAP/$D$4,IF(CAP&gt;=$I$4,I21*CAP/$I$4,INDEX($D21:$I21,$D$3)+$E$3*(INDEX($D21:$I21,$D$3+1)-INDEX($D21:$I21,$D$3))))</f>
        <v/>
      </c>
      <c r="P21" s="39" t="inlineStr"/>
    </row>
    <row r="22">
      <c r="A22" s="30" t="n">
        <v>18</v>
      </c>
      <c r="B22" s="31" t="inlineStr">
        <is>
          <t>إداري</t>
        </is>
      </c>
      <c r="C22" s="5" t="inlineStr">
        <is>
          <t>مرشد ديني</t>
        </is>
      </c>
      <c r="D22" s="32" t="n">
        <v>1</v>
      </c>
      <c r="E22" s="32" t="n">
        <v>1</v>
      </c>
      <c r="F22" s="32" t="n">
        <v>1</v>
      </c>
      <c r="G22" s="32" t="n">
        <v>2</v>
      </c>
      <c r="H22" s="32" t="n">
        <v>3</v>
      </c>
      <c r="I22" s="32" t="n">
        <v>4</v>
      </c>
      <c r="J22" s="33">
        <f>IF(RMODE="تقريب لأعلى",ROUNDUP(O22,0),ROUND(O22,0))</f>
        <v/>
      </c>
      <c r="K22" s="34" t="n"/>
      <c r="L22" s="35">
        <f>K22-J22</f>
        <v/>
      </c>
      <c r="M22" s="36">
        <f>IF(J22=0,"",K22/J22)</f>
        <v/>
      </c>
      <c r="N22" s="37">
        <f>IF(J22=0,"لا ينطبق",IF(K22&gt;=J22,"مكتمل",IF(K22=0,"لا يوجد","عجز")))</f>
        <v/>
      </c>
      <c r="O22" s="38">
        <f>IF(CAP&lt;=$D$4,D22*CAP/$D$4,IF(CAP&gt;=$I$4,I22*CAP/$I$4,INDEX($D22:$I22,$D$3)+$E$3*(INDEX($D22:$I22,$D$3+1)-INDEX($D22:$I22,$D$3))))</f>
        <v/>
      </c>
      <c r="P22" s="39" t="inlineStr"/>
    </row>
    <row r="23">
      <c r="A23" s="30" t="n">
        <v>19</v>
      </c>
      <c r="B23" s="31" t="inlineStr">
        <is>
          <t>إداري</t>
        </is>
      </c>
      <c r="C23" s="5" t="inlineStr">
        <is>
          <t>مرشد ديني أول</t>
        </is>
      </c>
      <c r="D23" s="32" t="n">
        <v>1</v>
      </c>
      <c r="E23" s="32" t="n">
        <v>1</v>
      </c>
      <c r="F23" s="32" t="n">
        <v>1</v>
      </c>
      <c r="G23" s="32" t="n">
        <v>2</v>
      </c>
      <c r="H23" s="32" t="n">
        <v>3</v>
      </c>
      <c r="I23" s="32" t="n">
        <v>3</v>
      </c>
      <c r="J23" s="33">
        <f>IF(RMODE="تقريب لأعلى",ROUNDUP(O23,0),ROUND(O23,0))</f>
        <v/>
      </c>
      <c r="K23" s="34" t="n"/>
      <c r="L23" s="35">
        <f>K23-J23</f>
        <v/>
      </c>
      <c r="M23" s="36">
        <f>IF(J23=0,"",K23/J23)</f>
        <v/>
      </c>
      <c r="N23" s="37">
        <f>IF(J23=0,"لا ينطبق",IF(K23&gt;=J23,"مكتمل",IF(K23=0,"لا يوجد","عجز")))</f>
        <v/>
      </c>
      <c r="O23" s="38">
        <f>IF(CAP&lt;=$D$4,D23*CAP/$D$4,IF(CAP&gt;=$I$4,I23*CAP/$I$4,INDEX($D23:$I23,$D$3)+$E$3*(INDEX($D23:$I23,$D$3+1)-INDEX($D23:$I23,$D$3))))</f>
        <v/>
      </c>
      <c r="P23" s="39" t="inlineStr"/>
    </row>
    <row r="24">
      <c r="A24" s="30" t="n">
        <v>20</v>
      </c>
      <c r="B24" s="31" t="inlineStr">
        <is>
          <t>إداري</t>
        </is>
      </c>
      <c r="C24" s="5" t="inlineStr">
        <is>
          <t>كبير المرشدين الدينيين</t>
        </is>
      </c>
      <c r="D24" s="32" t="n">
        <v>0</v>
      </c>
      <c r="E24" s="32" t="n">
        <v>0</v>
      </c>
      <c r="F24" s="32" t="n">
        <v>1</v>
      </c>
      <c r="G24" s="32" t="n">
        <v>1</v>
      </c>
      <c r="H24" s="32" t="n">
        <v>1</v>
      </c>
      <c r="I24" s="32" t="n">
        <v>2</v>
      </c>
      <c r="J24" s="33">
        <f>IF(RMODE="تقريب لأعلى",ROUNDUP(O24,0),ROUND(O24,0))</f>
        <v/>
      </c>
      <c r="K24" s="34" t="n"/>
      <c r="L24" s="35">
        <f>K24-J24</f>
        <v/>
      </c>
      <c r="M24" s="36">
        <f>IF(J24=0,"",K24/J24)</f>
        <v/>
      </c>
      <c r="N24" s="37">
        <f>IF(J24=0,"لا ينطبق",IF(K24&gt;=J24,"مكتمل",IF(K24=0,"لا يوجد","عجز")))</f>
        <v/>
      </c>
      <c r="O24" s="38">
        <f>IF(CAP&lt;=$D$4,D24*CAP/$D$4,IF(CAP&gt;=$I$4,I24*CAP/$I$4,INDEX($D24:$I24,$D$3)+$E$3*(INDEX($D24:$I24,$D$3+1)-INDEX($D24:$I24,$D$3))))</f>
        <v/>
      </c>
      <c r="P24" s="39" t="inlineStr"/>
    </row>
    <row r="25">
      <c r="A25" s="30" t="n">
        <v>21</v>
      </c>
      <c r="B25" s="31" t="inlineStr">
        <is>
          <t>إداري</t>
        </is>
      </c>
      <c r="C25" s="5" t="inlineStr">
        <is>
          <t>أخصائي عمليات الموارد البشرية</t>
        </is>
      </c>
      <c r="D25" s="32" t="n">
        <v>2</v>
      </c>
      <c r="E25" s="32" t="n">
        <v>2</v>
      </c>
      <c r="F25" s="32" t="n">
        <v>3</v>
      </c>
      <c r="G25" s="32" t="n">
        <v>3</v>
      </c>
      <c r="H25" s="32" t="n">
        <v>5</v>
      </c>
      <c r="I25" s="32" t="n">
        <v>6</v>
      </c>
      <c r="J25" s="33">
        <f>IF(RMODE="تقريب لأعلى",ROUNDUP(O25,0),ROUND(O25,0))</f>
        <v/>
      </c>
      <c r="K25" s="34" t="n"/>
      <c r="L25" s="35">
        <f>K25-J25</f>
        <v/>
      </c>
      <c r="M25" s="36">
        <f>IF(J25=0,"",K25/J25)</f>
        <v/>
      </c>
      <c r="N25" s="37">
        <f>IF(J25=0,"لا ينطبق",IF(K25&gt;=J25,"مكتمل",IF(K25=0,"لا يوجد","عجز")))</f>
        <v/>
      </c>
      <c r="O25" s="38">
        <f>IF(CAP&lt;=$D$4,D25*CAP/$D$4,IF(CAP&gt;=$I$4,I25*CAP/$I$4,INDEX($D25:$I25,$D$3)+$E$3*(INDEX($D25:$I25,$D$3+1)-INDEX($D25:$I25,$D$3))))</f>
        <v/>
      </c>
      <c r="P25" s="39" t="inlineStr"/>
    </row>
    <row r="26">
      <c r="A26" s="30" t="n">
        <v>22</v>
      </c>
      <c r="B26" s="31" t="inlineStr">
        <is>
          <t>إداري</t>
        </is>
      </c>
      <c r="C26" s="5" t="inlineStr">
        <is>
          <t>مشرف مسكن</t>
        </is>
      </c>
      <c r="D26" s="32" t="n">
        <v>2</v>
      </c>
      <c r="E26" s="32" t="n">
        <v>2</v>
      </c>
      <c r="F26" s="32" t="n">
        <v>2</v>
      </c>
      <c r="G26" s="32" t="n">
        <v>2</v>
      </c>
      <c r="H26" s="32" t="n">
        <v>2</v>
      </c>
      <c r="I26" s="32" t="n">
        <v>2</v>
      </c>
      <c r="J26" s="33">
        <f>IF(RMODE="تقريب لأعلى",ROUNDUP(O26,0),ROUND(O26,0))</f>
        <v/>
      </c>
      <c r="K26" s="34" t="n"/>
      <c r="L26" s="35">
        <f>K26-J26</f>
        <v/>
      </c>
      <c r="M26" s="36">
        <f>IF(J26=0,"",K26/J26)</f>
        <v/>
      </c>
      <c r="N26" s="37">
        <f>IF(J26=0,"لا ينطبق",IF(K26&gt;=J26,"مكتمل",IF(K26=0,"لا يوجد","عجز")))</f>
        <v/>
      </c>
      <c r="O26" s="38">
        <f>IF(CAP&lt;=$D$4,D26*CAP/$D$4,IF(CAP&gt;=$I$4,I26*CAP/$I$4,INDEX($D26:$I26,$D$3)+$E$3*(INDEX($D26:$I26,$D$3+1)-INDEX($D26:$I26,$D$3))))</f>
        <v/>
      </c>
      <c r="P26" s="39" t="inlineStr"/>
    </row>
    <row r="27">
      <c r="A27" s="30" t="n">
        <v>23</v>
      </c>
      <c r="B27" s="31" t="inlineStr">
        <is>
          <t>إداري</t>
        </is>
      </c>
      <c r="C27" s="5" t="inlineStr">
        <is>
          <t>مهندس كهربائي</t>
        </is>
      </c>
      <c r="D27" s="32" t="n">
        <v>2</v>
      </c>
      <c r="E27" s="32" t="n">
        <v>2</v>
      </c>
      <c r="F27" s="32" t="n">
        <v>3</v>
      </c>
      <c r="G27" s="32" t="n">
        <v>5</v>
      </c>
      <c r="H27" s="32" t="n">
        <v>5</v>
      </c>
      <c r="I27" s="32" t="n">
        <v>5</v>
      </c>
      <c r="J27" s="33">
        <f>IF(RMODE="تقريب لأعلى",ROUNDUP(O27,0),ROUND(O27,0))</f>
        <v/>
      </c>
      <c r="K27" s="34" t="n"/>
      <c r="L27" s="35">
        <f>K27-J27</f>
        <v/>
      </c>
      <c r="M27" s="36">
        <f>IF(J27=0,"",K27/J27)</f>
        <v/>
      </c>
      <c r="N27" s="37">
        <f>IF(J27=0,"لا ينطبق",IF(K27&gt;=J27,"مكتمل",IF(K27=0,"لا يوجد","عجز")))</f>
        <v/>
      </c>
      <c r="O27" s="38">
        <f>IF(CAP&lt;=$D$4,D27*CAP/$D$4,IF(CAP&gt;=$I$4,I27*CAP/$I$4,INDEX($D27:$I27,$D$3)+$E$3*(INDEX($D27:$I27,$D$3+1)-INDEX($D27:$I27,$D$3))))</f>
        <v/>
      </c>
      <c r="P27" s="39" t="inlineStr"/>
    </row>
    <row r="28">
      <c r="A28" s="30" t="n">
        <v>24</v>
      </c>
      <c r="B28" s="31" t="inlineStr">
        <is>
          <t>إداري</t>
        </is>
      </c>
      <c r="C28" s="5" t="inlineStr">
        <is>
          <t>مهندس ميكانيكي</t>
        </is>
      </c>
      <c r="D28" s="32" t="n">
        <v>2</v>
      </c>
      <c r="E28" s="32" t="n">
        <v>2</v>
      </c>
      <c r="F28" s="32" t="n">
        <v>3</v>
      </c>
      <c r="G28" s="32" t="n">
        <v>6</v>
      </c>
      <c r="H28" s="32" t="n">
        <v>6</v>
      </c>
      <c r="I28" s="32" t="n">
        <v>6</v>
      </c>
      <c r="J28" s="33">
        <f>IF(RMODE="تقريب لأعلى",ROUNDUP(O28,0),ROUND(O28,0))</f>
        <v/>
      </c>
      <c r="K28" s="34" t="n"/>
      <c r="L28" s="35">
        <f>K28-J28</f>
        <v/>
      </c>
      <c r="M28" s="36">
        <f>IF(J28=0,"",K28/J28)</f>
        <v/>
      </c>
      <c r="N28" s="37">
        <f>IF(J28=0,"لا ينطبق",IF(K28&gt;=J28,"مكتمل",IF(K28=0,"لا يوجد","عجز")))</f>
        <v/>
      </c>
      <c r="O28" s="38">
        <f>IF(CAP&lt;=$D$4,D28*CAP/$D$4,IF(CAP&gt;=$I$4,I28*CAP/$I$4,INDEX($D28:$I28,$D$3)+$E$3*(INDEX($D28:$I28,$D$3+1)-INDEX($D28:$I28,$D$3))))</f>
        <v/>
      </c>
      <c r="P28" s="39" t="inlineStr"/>
    </row>
    <row r="29">
      <c r="A29" s="30" t="n">
        <v>25</v>
      </c>
      <c r="B29" s="31" t="inlineStr">
        <is>
          <t>إداري</t>
        </is>
      </c>
      <c r="C29" s="5" t="inlineStr">
        <is>
          <t>مهندس مدني</t>
        </is>
      </c>
      <c r="D29" s="32" t="n">
        <v>1</v>
      </c>
      <c r="E29" s="32" t="n">
        <v>1</v>
      </c>
      <c r="F29" s="32" t="n">
        <v>1</v>
      </c>
      <c r="G29" s="32" t="n">
        <v>1</v>
      </c>
      <c r="H29" s="32" t="n">
        <v>1</v>
      </c>
      <c r="I29" s="32" t="n">
        <v>1</v>
      </c>
      <c r="J29" s="33">
        <f>IF(RMODE="تقريب لأعلى",ROUNDUP(O29,0),ROUND(O29,0))</f>
        <v/>
      </c>
      <c r="K29" s="34" t="n"/>
      <c r="L29" s="35">
        <f>K29-J29</f>
        <v/>
      </c>
      <c r="M29" s="36">
        <f>IF(J29=0,"",K29/J29)</f>
        <v/>
      </c>
      <c r="N29" s="37">
        <f>IF(J29=0,"لا ينطبق",IF(K29&gt;=J29,"مكتمل",IF(K29=0,"لا يوجد","عجز")))</f>
        <v/>
      </c>
      <c r="O29" s="38">
        <f>IF(CAP&lt;=$D$4,D29*CAP/$D$4,IF(CAP&gt;=$I$4,I29*CAP/$I$4,INDEX($D29:$I29,$D$3)+$E$3*(INDEX($D29:$I29,$D$3+1)-INDEX($D29:$I29,$D$3))))</f>
        <v/>
      </c>
      <c r="P29" s="39" t="inlineStr"/>
    </row>
    <row r="30">
      <c r="A30" s="30" t="n">
        <v>26</v>
      </c>
      <c r="B30" s="31" t="inlineStr">
        <is>
          <t>إداري</t>
        </is>
      </c>
      <c r="C30" s="5" t="inlineStr">
        <is>
          <t>موظف استقبال بلاغات</t>
        </is>
      </c>
      <c r="D30" s="32" t="n">
        <v>2</v>
      </c>
      <c r="E30" s="32" t="n">
        <v>3</v>
      </c>
      <c r="F30" s="32" t="n">
        <v>3</v>
      </c>
      <c r="G30" s="32" t="n">
        <v>4</v>
      </c>
      <c r="H30" s="32" t="n">
        <v>5</v>
      </c>
      <c r="I30" s="32" t="n">
        <v>5</v>
      </c>
      <c r="J30" s="33">
        <f>IF(RMODE="تقريب لأعلى",ROUNDUP(O30,0),ROUND(O30,0))</f>
        <v/>
      </c>
      <c r="K30" s="34" t="n"/>
      <c r="L30" s="35">
        <f>K30-J30</f>
        <v/>
      </c>
      <c r="M30" s="36">
        <f>IF(J30=0,"",K30/J30)</f>
        <v/>
      </c>
      <c r="N30" s="37">
        <f>IF(J30=0,"لا ينطبق",IF(K30&gt;=J30,"مكتمل",IF(K30=0,"لا يوجد","عجز")))</f>
        <v/>
      </c>
      <c r="O30" s="38">
        <f>IF(CAP&lt;=$D$4,D30*CAP/$D$4,IF(CAP&gt;=$I$4,I30*CAP/$I$4,INDEX($D30:$I30,$D$3)+$E$3*(INDEX($D30:$I30,$D$3+1)-INDEX($D30:$I30,$D$3))))</f>
        <v/>
      </c>
      <c r="P30" s="39" t="inlineStr"/>
    </row>
    <row r="31">
      <c r="A31" s="30" t="n">
        <v>27</v>
      </c>
      <c r="B31" s="31" t="inlineStr">
        <is>
          <t>إداري</t>
        </is>
      </c>
      <c r="C31" s="5" t="inlineStr">
        <is>
          <t>مشرف صيانة</t>
        </is>
      </c>
      <c r="D31" s="32" t="n">
        <v>2</v>
      </c>
      <c r="E31" s="32" t="n">
        <v>3</v>
      </c>
      <c r="F31" s="32" t="n">
        <v>5</v>
      </c>
      <c r="G31" s="32" t="n">
        <v>6</v>
      </c>
      <c r="H31" s="32" t="n">
        <v>6</v>
      </c>
      <c r="I31" s="32" t="n">
        <v>9</v>
      </c>
      <c r="J31" s="33">
        <f>IF(RMODE="تقريب لأعلى",ROUNDUP(O31,0),ROUND(O31,0))</f>
        <v/>
      </c>
      <c r="K31" s="34" t="n"/>
      <c r="L31" s="35">
        <f>K31-J31</f>
        <v/>
      </c>
      <c r="M31" s="36">
        <f>IF(J31=0,"",K31/J31)</f>
        <v/>
      </c>
      <c r="N31" s="37">
        <f>IF(J31=0,"لا ينطبق",IF(K31&gt;=J31,"مكتمل",IF(K31=0,"لا يوجد","عجز")))</f>
        <v/>
      </c>
      <c r="O31" s="38">
        <f>IF(CAP&lt;=$D$4,D31*CAP/$D$4,IF(CAP&gt;=$I$4,I31*CAP/$I$4,INDEX($D31:$I31,$D$3)+$E$3*(INDEX($D31:$I31,$D$3+1)-INDEX($D31:$I31,$D$3))))</f>
        <v/>
      </c>
      <c r="P31" s="39" t="inlineStr"/>
    </row>
    <row r="32">
      <c r="A32" s="30" t="n">
        <v>28</v>
      </c>
      <c r="B32" s="31" t="inlineStr">
        <is>
          <t>إداري</t>
        </is>
      </c>
      <c r="C32" s="5" t="inlineStr">
        <is>
          <t>إداري</t>
        </is>
      </c>
      <c r="D32" s="32" t="n">
        <v>2</v>
      </c>
      <c r="E32" s="32" t="n">
        <v>2</v>
      </c>
      <c r="F32" s="32" t="n">
        <v>5</v>
      </c>
      <c r="G32" s="32" t="n">
        <v>5</v>
      </c>
      <c r="H32" s="32" t="n">
        <v>6</v>
      </c>
      <c r="I32" s="32" t="n">
        <v>6</v>
      </c>
      <c r="J32" s="33">
        <f>IF(RMODE="تقريب لأعلى",ROUNDUP(O32,0),ROUND(O32,0))</f>
        <v/>
      </c>
      <c r="K32" s="34" t="n"/>
      <c r="L32" s="35">
        <f>K32-J32</f>
        <v/>
      </c>
      <c r="M32" s="36">
        <f>IF(J32=0,"",K32/J32)</f>
        <v/>
      </c>
      <c r="N32" s="37">
        <f>IF(J32=0,"لا ينطبق",IF(K32&gt;=J32,"مكتمل",IF(K32=0,"لا يوجد","عجز")))</f>
        <v/>
      </c>
      <c r="O32" s="38">
        <f>IF(CAP&lt;=$D$4,D32*CAP/$D$4,IF(CAP&gt;=$I$4,I32*CAP/$I$4,INDEX($D32:$I32,$D$3)+$E$3*(INDEX($D32:$I32,$D$3+1)-INDEX($D32:$I32,$D$3))))</f>
        <v/>
      </c>
      <c r="P32" s="39" t="inlineStr"/>
    </row>
    <row r="33">
      <c r="A33" s="30" t="n">
        <v>29</v>
      </c>
      <c r="B33" s="31" t="inlineStr">
        <is>
          <t>إداري</t>
        </is>
      </c>
      <c r="C33" s="5" t="inlineStr">
        <is>
          <t>مهندس معماري</t>
        </is>
      </c>
      <c r="D33" s="32" t="n">
        <v>0</v>
      </c>
      <c r="E33" s="32" t="n">
        <v>0</v>
      </c>
      <c r="F33" s="32" t="n">
        <v>0</v>
      </c>
      <c r="G33" s="32" t="n">
        <v>1</v>
      </c>
      <c r="H33" s="32" t="n">
        <v>1</v>
      </c>
      <c r="I33" s="32" t="n">
        <v>1</v>
      </c>
      <c r="J33" s="33">
        <f>IF(RMODE="تقريب لأعلى",ROUNDUP(O33,0),ROUND(O33,0))</f>
        <v/>
      </c>
      <c r="K33" s="34" t="n"/>
      <c r="L33" s="35">
        <f>K33-J33</f>
        <v/>
      </c>
      <c r="M33" s="36">
        <f>IF(J33=0,"",K33/J33)</f>
        <v/>
      </c>
      <c r="N33" s="37">
        <f>IF(J33=0,"لا ينطبق",IF(K33&gt;=J33,"مكتمل",IF(K33=0,"لا يوجد","عجز")))</f>
        <v/>
      </c>
      <c r="O33" s="38">
        <f>IF(CAP&lt;=$D$4,D33*CAP/$D$4,IF(CAP&gt;=$I$4,I33*CAP/$I$4,INDEX($D33:$I33,$D$3)+$E$3*(INDEX($D33:$I33,$D$3+1)-INDEX($D33:$I33,$D$3))))</f>
        <v/>
      </c>
      <c r="P33" s="39" t="inlineStr"/>
    </row>
    <row r="34">
      <c r="A34" s="30" t="n">
        <v>30</v>
      </c>
      <c r="B34" s="31" t="inlineStr">
        <is>
          <t>إداري</t>
        </is>
      </c>
      <c r="C34" s="5" t="inlineStr">
        <is>
          <t>مدير عمليات الموارد البشرية</t>
        </is>
      </c>
      <c r="D34" s="32" t="n">
        <v>1</v>
      </c>
      <c r="E34" s="32" t="n">
        <v>1</v>
      </c>
      <c r="F34" s="32" t="n">
        <v>1</v>
      </c>
      <c r="G34" s="32" t="n">
        <v>1</v>
      </c>
      <c r="H34" s="32" t="n">
        <v>1</v>
      </c>
      <c r="I34" s="32" t="n">
        <v>1</v>
      </c>
      <c r="J34" s="33">
        <f>IF(RMODE="تقريب لأعلى",ROUNDUP(O34,0),ROUND(O34,0))</f>
        <v/>
      </c>
      <c r="K34" s="34" t="n"/>
      <c r="L34" s="35">
        <f>K34-J34</f>
        <v/>
      </c>
      <c r="M34" s="36">
        <f>IF(J34=0,"",K34/J34)</f>
        <v/>
      </c>
      <c r="N34" s="37">
        <f>IF(J34=0,"لا ينطبق",IF(K34&gt;=J34,"مكتمل",IF(K34=0,"لا يوجد","عجز")))</f>
        <v/>
      </c>
      <c r="O34" s="38">
        <f>IF(CAP&lt;=$D$4,D34*CAP/$D$4,IF(CAP&gt;=$I$4,I34*CAP/$I$4,INDEX($D34:$I34,$D$3)+$E$3*(INDEX($D34:$I34,$D$3+1)-INDEX($D34:$I34,$D$3))))</f>
        <v/>
      </c>
      <c r="P34" s="39" t="inlineStr"/>
    </row>
    <row r="35">
      <c r="A35" s="30" t="n">
        <v>31</v>
      </c>
      <c r="B35" s="31" t="inlineStr">
        <is>
          <t>إداري</t>
        </is>
      </c>
      <c r="C35" s="5" t="inlineStr">
        <is>
          <t>مترجم</t>
        </is>
      </c>
      <c r="D35" s="32" t="n">
        <v>2</v>
      </c>
      <c r="E35" s="32" t="n">
        <v>2</v>
      </c>
      <c r="F35" s="32" t="n">
        <v>3</v>
      </c>
      <c r="G35" s="32" t="n">
        <v>3</v>
      </c>
      <c r="H35" s="32" t="n">
        <v>4</v>
      </c>
      <c r="I35" s="32" t="n">
        <v>6</v>
      </c>
      <c r="J35" s="33">
        <f>IF(RMODE="تقريب لأعلى",ROUNDUP(O35,0),ROUND(O35,0))</f>
        <v/>
      </c>
      <c r="K35" s="34" t="n"/>
      <c r="L35" s="35">
        <f>K35-J35</f>
        <v/>
      </c>
      <c r="M35" s="36">
        <f>IF(J35=0,"",K35/J35)</f>
        <v/>
      </c>
      <c r="N35" s="37">
        <f>IF(J35=0,"لا ينطبق",IF(K35&gt;=J35,"مكتمل",IF(K35=0,"لا يوجد","عجز")))</f>
        <v/>
      </c>
      <c r="O35" s="38">
        <f>IF(CAP&lt;=$D$4,D35*CAP/$D$4,IF(CAP&gt;=$I$4,I35*CAP/$I$4,INDEX($D35:$I35,$D$3)+$E$3*(INDEX($D35:$I35,$D$3+1)-INDEX($D35:$I35,$D$3))))</f>
        <v/>
      </c>
      <c r="P35" s="39" t="inlineStr"/>
    </row>
    <row r="36">
      <c r="A36" s="30" t="n">
        <v>32</v>
      </c>
      <c r="B36" s="31" t="inlineStr">
        <is>
          <t>إداري</t>
        </is>
      </c>
      <c r="C36" s="5" t="inlineStr">
        <is>
          <t>مراقب مخزون</t>
        </is>
      </c>
      <c r="D36" s="32" t="n">
        <v>2</v>
      </c>
      <c r="E36" s="32" t="n">
        <v>2</v>
      </c>
      <c r="F36" s="32" t="n">
        <v>3</v>
      </c>
      <c r="G36" s="32" t="n">
        <v>3</v>
      </c>
      <c r="H36" s="32" t="n">
        <v>5</v>
      </c>
      <c r="I36" s="32" t="n">
        <v>6</v>
      </c>
      <c r="J36" s="33">
        <f>IF(RMODE="تقريب لأعلى",ROUNDUP(O36,0),ROUND(O36,0))</f>
        <v/>
      </c>
      <c r="K36" s="34" t="n"/>
      <c r="L36" s="35">
        <f>K36-J36</f>
        <v/>
      </c>
      <c r="M36" s="36">
        <f>IF(J36=0,"",K36/J36)</f>
        <v/>
      </c>
      <c r="N36" s="37">
        <f>IF(J36=0,"لا ينطبق",IF(K36&gt;=J36,"مكتمل",IF(K36=0,"لا يوجد","عجز")))</f>
        <v/>
      </c>
      <c r="O36" s="38">
        <f>IF(CAP&lt;=$D$4,D36*CAP/$D$4,IF(CAP&gt;=$I$4,I36*CAP/$I$4,INDEX($D36:$I36,$D$3)+$E$3*(INDEX($D36:$I36,$D$3+1)-INDEX($D36:$I36,$D$3))))</f>
        <v/>
      </c>
      <c r="P36" s="39" t="inlineStr"/>
    </row>
    <row r="37">
      <c r="A37" s="30" t="n">
        <v>33</v>
      </c>
      <c r="B37" s="31" t="inlineStr">
        <is>
          <t>إداري</t>
        </is>
      </c>
      <c r="C37" s="5" t="inlineStr">
        <is>
          <t>أخصائي رقابة إدارية</t>
        </is>
      </c>
      <c r="D37" s="32" t="n">
        <v>2</v>
      </c>
      <c r="E37" s="32" t="n">
        <v>2</v>
      </c>
      <c r="F37" s="32" t="n">
        <v>2</v>
      </c>
      <c r="G37" s="32" t="n">
        <v>2</v>
      </c>
      <c r="H37" s="32" t="n">
        <v>2</v>
      </c>
      <c r="I37" s="32" t="n">
        <v>2</v>
      </c>
      <c r="J37" s="33">
        <f>IF(RMODE="تقريب لأعلى",ROUNDUP(O37,0),ROUND(O37,0))</f>
        <v/>
      </c>
      <c r="K37" s="34" t="n"/>
      <c r="L37" s="35">
        <f>K37-J37</f>
        <v/>
      </c>
      <c r="M37" s="36">
        <f>IF(J37=0,"",K37/J37)</f>
        <v/>
      </c>
      <c r="N37" s="37">
        <f>IF(J37=0,"لا ينطبق",IF(K37&gt;=J37,"مكتمل",IF(K37=0,"لا يوجد","عجز")))</f>
        <v/>
      </c>
      <c r="O37" s="38">
        <f>IF(CAP&lt;=$D$4,D37*CAP/$D$4,IF(CAP&gt;=$I$4,I37*CAP/$I$4,INDEX($D37:$I37,$D$3)+$E$3*(INDEX($D37:$I37,$D$3+1)-INDEX($D37:$I37,$D$3))))</f>
        <v/>
      </c>
      <c r="P37" s="39" t="inlineStr"/>
    </row>
    <row r="38">
      <c r="A38" s="30" t="n">
        <v>34</v>
      </c>
      <c r="B38" s="31" t="inlineStr">
        <is>
          <t>إداري</t>
        </is>
      </c>
      <c r="C38" s="5" t="inlineStr">
        <is>
          <t>أخصائي علاقات عامة</t>
        </is>
      </c>
      <c r="D38" s="32" t="n">
        <v>2</v>
      </c>
      <c r="E38" s="32" t="n">
        <v>2</v>
      </c>
      <c r="F38" s="32" t="n">
        <v>2</v>
      </c>
      <c r="G38" s="32" t="n">
        <v>2</v>
      </c>
      <c r="H38" s="32" t="n">
        <v>2</v>
      </c>
      <c r="I38" s="32" t="n">
        <v>4</v>
      </c>
      <c r="J38" s="33">
        <f>IF(RMODE="تقريب لأعلى",ROUNDUP(O38,0),ROUND(O38,0))</f>
        <v/>
      </c>
      <c r="K38" s="34" t="n"/>
      <c r="L38" s="35">
        <f>K38-J38</f>
        <v/>
      </c>
      <c r="M38" s="36">
        <f>IF(J38=0,"",K38/J38)</f>
        <v/>
      </c>
      <c r="N38" s="37">
        <f>IF(J38=0,"لا ينطبق",IF(K38&gt;=J38,"مكتمل",IF(K38=0,"لا يوجد","عجز")))</f>
        <v/>
      </c>
      <c r="O38" s="38">
        <f>IF(CAP&lt;=$D$4,D38*CAP/$D$4,IF(CAP&gt;=$I$4,I38*CAP/$I$4,INDEX($D38:$I38,$D$3)+$E$3*(INDEX($D38:$I38,$D$3+1)-INDEX($D38:$I38,$D$3))))</f>
        <v/>
      </c>
      <c r="P38" s="39" t="inlineStr"/>
    </row>
    <row r="39">
      <c r="A39" s="30" t="n">
        <v>35</v>
      </c>
      <c r="B39" s="31" t="inlineStr">
        <is>
          <t>إداري</t>
        </is>
      </c>
      <c r="C39" s="5" t="inlineStr">
        <is>
          <t>مدير متابعة وأداء مؤسسي</t>
        </is>
      </c>
      <c r="D39" s="32" t="n">
        <v>1</v>
      </c>
      <c r="E39" s="32" t="n">
        <v>1</v>
      </c>
      <c r="F39" s="32" t="n">
        <v>1</v>
      </c>
      <c r="G39" s="32" t="n">
        <v>1</v>
      </c>
      <c r="H39" s="32" t="n">
        <v>1</v>
      </c>
      <c r="I39" s="32" t="n">
        <v>1</v>
      </c>
      <c r="J39" s="33">
        <f>IF(RMODE="تقريب لأعلى",ROUNDUP(O39,0),ROUND(O39,0))</f>
        <v/>
      </c>
      <c r="K39" s="34" t="n"/>
      <c r="L39" s="35">
        <f>K39-J39</f>
        <v/>
      </c>
      <c r="M39" s="36">
        <f>IF(J39=0,"",K39/J39)</f>
        <v/>
      </c>
      <c r="N39" s="37">
        <f>IF(J39=0,"لا ينطبق",IF(K39&gt;=J39,"مكتمل",IF(K39=0,"لا يوجد","عجز")))</f>
        <v/>
      </c>
      <c r="O39" s="38">
        <f>IF(CAP&lt;=$D$4,D39*CAP/$D$4,IF(CAP&gt;=$I$4,I39*CAP/$I$4,INDEX($D39:$I39,$D$3)+$E$3*(INDEX($D39:$I39,$D$3+1)-INDEX($D39:$I39,$D$3))))</f>
        <v/>
      </c>
      <c r="P39" s="39" t="inlineStr"/>
    </row>
    <row r="40">
      <c r="A40" s="30" t="n">
        <v>36</v>
      </c>
      <c r="B40" s="31" t="inlineStr">
        <is>
          <t>إداري</t>
        </is>
      </c>
      <c r="C40" s="5" t="inlineStr">
        <is>
          <t>أخصائي / مهندس سلامة</t>
        </is>
      </c>
      <c r="D40" s="32" t="n">
        <v>1</v>
      </c>
      <c r="E40" s="32" t="n">
        <v>1</v>
      </c>
      <c r="F40" s="32" t="n">
        <v>1</v>
      </c>
      <c r="G40" s="32" t="n">
        <v>2</v>
      </c>
      <c r="H40" s="32" t="n">
        <v>2</v>
      </c>
      <c r="I40" s="32" t="n">
        <v>2</v>
      </c>
      <c r="J40" s="33">
        <f>IF(RMODE="تقريب لأعلى",ROUNDUP(O40,0),ROUND(O40,0))</f>
        <v/>
      </c>
      <c r="K40" s="34" t="n"/>
      <c r="L40" s="35">
        <f>K40-J40</f>
        <v/>
      </c>
      <c r="M40" s="36">
        <f>IF(J40=0,"",K40/J40)</f>
        <v/>
      </c>
      <c r="N40" s="37">
        <f>IF(J40=0,"لا ينطبق",IF(K40&gt;=J40,"مكتمل",IF(K40=0,"لا يوجد","عجز")))</f>
        <v/>
      </c>
      <c r="O40" s="38">
        <f>IF(CAP&lt;=$D$4,D40*CAP/$D$4,IF(CAP&gt;=$I$4,I40*CAP/$I$4,INDEX($D40:$I40,$D$3)+$E$3*(INDEX($D40:$I40,$D$3+1)-INDEX($D40:$I40,$D$3))))</f>
        <v/>
      </c>
      <c r="P40" s="39" t="inlineStr"/>
    </row>
    <row r="41">
      <c r="A41" s="30" t="n">
        <v>37</v>
      </c>
      <c r="B41" s="31" t="inlineStr">
        <is>
          <t>إداري</t>
        </is>
      </c>
      <c r="C41" s="5" t="inlineStr">
        <is>
          <t>مراقب أمن (ضابط عمليات)</t>
        </is>
      </c>
      <c r="D41" s="32" t="n">
        <v>3</v>
      </c>
      <c r="E41" s="32" t="n">
        <v>3</v>
      </c>
      <c r="F41" s="32" t="n">
        <v>3</v>
      </c>
      <c r="G41" s="32" t="n">
        <v>5</v>
      </c>
      <c r="H41" s="32" t="n">
        <v>5</v>
      </c>
      <c r="I41" s="32" t="n">
        <v>5</v>
      </c>
      <c r="J41" s="33">
        <f>IF(RMODE="تقريب لأعلى",ROUNDUP(O41,0),ROUND(O41,0))</f>
        <v/>
      </c>
      <c r="K41" s="34" t="n"/>
      <c r="L41" s="35">
        <f>K41-J41</f>
        <v/>
      </c>
      <c r="M41" s="36">
        <f>IF(J41=0,"",K41/J41)</f>
        <v/>
      </c>
      <c r="N41" s="37">
        <f>IF(J41=0,"لا ينطبق",IF(K41&gt;=J41,"مكتمل",IF(K41=0,"لا يوجد","عجز")))</f>
        <v/>
      </c>
      <c r="O41" s="38">
        <f>IF(CAP&lt;=$D$4,D41*CAP/$D$4,IF(CAP&gt;=$I$4,I41*CAP/$I$4,INDEX($D41:$I41,$D$3)+$E$3*(INDEX($D41:$I41,$D$3+1)-INDEX($D41:$I41,$D$3))))</f>
        <v/>
      </c>
      <c r="P41" s="39" t="inlineStr"/>
    </row>
    <row r="42">
      <c r="A42" s="30" t="n">
        <v>38</v>
      </c>
      <c r="B42" s="31" t="inlineStr">
        <is>
          <t>إداري</t>
        </is>
      </c>
      <c r="C42" s="5" t="inlineStr">
        <is>
          <t>فني سلامة</t>
        </is>
      </c>
      <c r="D42" s="32" t="n">
        <v>3</v>
      </c>
      <c r="E42" s="32" t="n">
        <v>5</v>
      </c>
      <c r="F42" s="32" t="n">
        <v>5</v>
      </c>
      <c r="G42" s="32" t="n">
        <v>6</v>
      </c>
      <c r="H42" s="32" t="n">
        <v>6</v>
      </c>
      <c r="I42" s="32" t="n">
        <v>6</v>
      </c>
      <c r="J42" s="33">
        <f>IF(RMODE="تقريب لأعلى",ROUNDUP(O42,0),ROUND(O42,0))</f>
        <v/>
      </c>
      <c r="K42" s="34" t="n"/>
      <c r="L42" s="35">
        <f>K42-J42</f>
        <v/>
      </c>
      <c r="M42" s="36">
        <f>IF(J42=0,"",K42/J42)</f>
        <v/>
      </c>
      <c r="N42" s="37">
        <f>IF(J42=0,"لا ينطبق",IF(K42&gt;=J42,"مكتمل",IF(K42=0,"لا يوجد","عجز")))</f>
        <v/>
      </c>
      <c r="O42" s="38">
        <f>IF(CAP&lt;=$D$4,D42*CAP/$D$4,IF(CAP&gt;=$I$4,I42*CAP/$I$4,INDEX($D42:$I42,$D$3)+$E$3*(INDEX($D42:$I42,$D$3+1)-INDEX($D42:$I42,$D$3))))</f>
        <v/>
      </c>
      <c r="P42" s="39" t="inlineStr"/>
    </row>
    <row r="43">
      <c r="A43" s="30" t="n">
        <v>39</v>
      </c>
      <c r="B43" s="31" t="inlineStr">
        <is>
          <t>إداري</t>
        </is>
      </c>
      <c r="C43" s="5" t="inlineStr">
        <is>
          <t>خدمات المرفق الصحي</t>
        </is>
      </c>
      <c r="D43" s="32" t="n">
        <v>1</v>
      </c>
      <c r="E43" s="32" t="n">
        <v>1</v>
      </c>
      <c r="F43" s="32" t="n">
        <v>1</v>
      </c>
      <c r="G43" s="32" t="n">
        <v>1</v>
      </c>
      <c r="H43" s="32" t="n">
        <v>1</v>
      </c>
      <c r="I43" s="32" t="n">
        <v>1</v>
      </c>
      <c r="J43" s="33">
        <f>IF(RMODE="تقريب لأعلى",ROUNDUP(O43,0),ROUND(O43,0))</f>
        <v/>
      </c>
      <c r="K43" s="34" t="n"/>
      <c r="L43" s="35">
        <f>K43-J43</f>
        <v/>
      </c>
      <c r="M43" s="36">
        <f>IF(J43=0,"",K43/J43)</f>
        <v/>
      </c>
      <c r="N43" s="37">
        <f>IF(J43=0,"لا ينطبق",IF(K43&gt;=J43,"مكتمل",IF(K43=0,"لا يوجد","عجز")))</f>
        <v/>
      </c>
      <c r="O43" s="38">
        <f>IF(CAP&lt;=$D$4,D43*CAP/$D$4,IF(CAP&gt;=$I$4,I43*CAP/$I$4,INDEX($D43:$I43,$D$3)+$E$3*(INDEX($D43:$I43,$D$3+1)-INDEX($D43:$I43,$D$3))))</f>
        <v/>
      </c>
      <c r="P43" s="39" t="inlineStr"/>
    </row>
    <row r="44">
      <c r="A44" s="30" t="n">
        <v>40</v>
      </c>
      <c r="B44" s="31" t="inlineStr">
        <is>
          <t>إداري</t>
        </is>
      </c>
      <c r="C44" s="5" t="inlineStr">
        <is>
          <t>مشرف نظافة</t>
        </is>
      </c>
      <c r="D44" s="32" t="n">
        <v>2</v>
      </c>
      <c r="E44" s="32" t="n">
        <v>3</v>
      </c>
      <c r="F44" s="32" t="n">
        <v>3</v>
      </c>
      <c r="G44" s="32" t="n">
        <v>3</v>
      </c>
      <c r="H44" s="32" t="n">
        <v>4</v>
      </c>
      <c r="I44" s="32" t="n">
        <v>4</v>
      </c>
      <c r="J44" s="33">
        <f>IF(RMODE="تقريب لأعلى",ROUNDUP(O44,0),ROUND(O44,0))</f>
        <v/>
      </c>
      <c r="K44" s="34" t="n"/>
      <c r="L44" s="35">
        <f>K44-J44</f>
        <v/>
      </c>
      <c r="M44" s="36">
        <f>IF(J44=0,"",K44/J44)</f>
        <v/>
      </c>
      <c r="N44" s="37">
        <f>IF(J44=0,"لا ينطبق",IF(K44&gt;=J44,"مكتمل",IF(K44=0,"لا يوجد","عجز")))</f>
        <v/>
      </c>
      <c r="O44" s="38">
        <f>IF(CAP&lt;=$D$4,D44*CAP/$D$4,IF(CAP&gt;=$I$4,I44*CAP/$I$4,INDEX($D44:$I44,$D$3)+$E$3*(INDEX($D44:$I44,$D$3+1)-INDEX($D44:$I44,$D$3))))</f>
        <v/>
      </c>
      <c r="P44" s="39" t="inlineStr"/>
    </row>
    <row r="45">
      <c r="A45" s="30" t="n">
        <v>41</v>
      </c>
      <c r="B45" s="31" t="inlineStr">
        <is>
          <t>إداري</t>
        </is>
      </c>
      <c r="C45" s="5" t="inlineStr">
        <is>
          <t>مشرف مغسلة</t>
        </is>
      </c>
      <c r="D45" s="32" t="n">
        <v>1</v>
      </c>
      <c r="E45" s="32" t="n">
        <v>1</v>
      </c>
      <c r="F45" s="32" t="n">
        <v>1</v>
      </c>
      <c r="G45" s="32" t="n">
        <v>2</v>
      </c>
      <c r="H45" s="32" t="n">
        <v>2</v>
      </c>
      <c r="I45" s="32" t="n">
        <v>2</v>
      </c>
      <c r="J45" s="33">
        <f>IF(RMODE="تقريب لأعلى",ROUNDUP(O45,0),ROUND(O45,0))</f>
        <v/>
      </c>
      <c r="K45" s="34" t="n"/>
      <c r="L45" s="35">
        <f>K45-J45</f>
        <v/>
      </c>
      <c r="M45" s="36">
        <f>IF(J45=0,"",K45/J45)</f>
        <v/>
      </c>
      <c r="N45" s="37">
        <f>IF(J45=0,"لا ينطبق",IF(K45&gt;=J45,"مكتمل",IF(K45=0,"لا يوجد","عجز")))</f>
        <v/>
      </c>
      <c r="O45" s="38">
        <f>IF(CAP&lt;=$D$4,D45*CAP/$D$4,IF(CAP&gt;=$I$4,I45*CAP/$I$4,INDEX($D45:$I45,$D$3)+$E$3*(INDEX($D45:$I45,$D$3+1)-INDEX($D45:$I45,$D$3))))</f>
        <v/>
      </c>
      <c r="P45" s="39" t="inlineStr"/>
    </row>
    <row r="46">
      <c r="A46" s="30" t="n">
        <v>42</v>
      </c>
      <c r="B46" s="31" t="inlineStr">
        <is>
          <t>إداري</t>
        </is>
      </c>
      <c r="C46" s="5" t="inlineStr">
        <is>
          <t>مشرف نفايات (غير طبية)</t>
        </is>
      </c>
      <c r="D46" s="32" t="n">
        <v>1</v>
      </c>
      <c r="E46" s="32" t="n">
        <v>1</v>
      </c>
      <c r="F46" s="32" t="n">
        <v>1</v>
      </c>
      <c r="G46" s="32" t="n">
        <v>2</v>
      </c>
      <c r="H46" s="32" t="n">
        <v>2</v>
      </c>
      <c r="I46" s="32" t="n">
        <v>2</v>
      </c>
      <c r="J46" s="33">
        <f>IF(RMODE="تقريب لأعلى",ROUNDUP(O46,0),ROUND(O46,0))</f>
        <v/>
      </c>
      <c r="K46" s="34" t="n"/>
      <c r="L46" s="35">
        <f>K46-J46</f>
        <v/>
      </c>
      <c r="M46" s="36">
        <f>IF(J46=0,"",K46/J46)</f>
        <v/>
      </c>
      <c r="N46" s="37">
        <f>IF(J46=0,"لا ينطبق",IF(K46&gt;=J46,"مكتمل",IF(K46=0,"لا يوجد","عجز")))</f>
        <v/>
      </c>
      <c r="O46" s="38">
        <f>IF(CAP&lt;=$D$4,D46*CAP/$D$4,IF(CAP&gt;=$I$4,I46*CAP/$I$4,INDEX($D46:$I46,$D$3)+$E$3*(INDEX($D46:$I46,$D$3+1)-INDEX($D46:$I46,$D$3))))</f>
        <v/>
      </c>
      <c r="P46" s="39" t="inlineStr"/>
    </row>
    <row r="47">
      <c r="A47" s="30" t="n">
        <v>43</v>
      </c>
      <c r="B47" s="31" t="inlineStr">
        <is>
          <t>إداري</t>
        </is>
      </c>
      <c r="C47" s="5" t="inlineStr">
        <is>
          <t>مهندس زراعي</t>
        </is>
      </c>
      <c r="D47" s="32" t="n">
        <v>1</v>
      </c>
      <c r="E47" s="32" t="n">
        <v>1</v>
      </c>
      <c r="F47" s="32" t="n">
        <v>1</v>
      </c>
      <c r="G47" s="32" t="n">
        <v>1</v>
      </c>
      <c r="H47" s="32" t="n">
        <v>2</v>
      </c>
      <c r="I47" s="32" t="n">
        <v>2</v>
      </c>
      <c r="J47" s="33">
        <f>IF(RMODE="تقريب لأعلى",ROUNDUP(O47,0),ROUND(O47,0))</f>
        <v/>
      </c>
      <c r="K47" s="34" t="n"/>
      <c r="L47" s="35">
        <f>K47-J47</f>
        <v/>
      </c>
      <c r="M47" s="36">
        <f>IF(J47=0,"",K47/J47)</f>
        <v/>
      </c>
      <c r="N47" s="37">
        <f>IF(J47=0,"لا ينطبق",IF(K47&gt;=J47,"مكتمل",IF(K47=0,"لا يوجد","عجز")))</f>
        <v/>
      </c>
      <c r="O47" s="38">
        <f>IF(CAP&lt;=$D$4,D47*CAP/$D$4,IF(CAP&gt;=$I$4,I47*CAP/$I$4,INDEX($D47:$I47,$D$3)+$E$3*(INDEX($D47:$I47,$D$3+1)-INDEX($D47:$I47,$D$3))))</f>
        <v/>
      </c>
      <c r="P47" s="39" t="inlineStr"/>
    </row>
    <row r="48">
      <c r="A48" s="30" t="n">
        <v>44</v>
      </c>
      <c r="B48" s="31" t="inlineStr">
        <is>
          <t>إداري</t>
        </is>
      </c>
      <c r="C48" s="5" t="inlineStr">
        <is>
          <t>خدمات الإسكان</t>
        </is>
      </c>
      <c r="D48" s="32" t="n">
        <v>1</v>
      </c>
      <c r="E48" s="32" t="n">
        <v>1</v>
      </c>
      <c r="F48" s="32" t="n">
        <v>1</v>
      </c>
      <c r="G48" s="32" t="n">
        <v>1</v>
      </c>
      <c r="H48" s="32" t="n">
        <v>1</v>
      </c>
      <c r="I48" s="32" t="n">
        <v>1</v>
      </c>
      <c r="J48" s="33">
        <f>IF(RMODE="تقريب لأعلى",ROUNDUP(O48,0),ROUND(O48,0))</f>
        <v/>
      </c>
      <c r="K48" s="34" t="n"/>
      <c r="L48" s="35">
        <f>K48-J48</f>
        <v/>
      </c>
      <c r="M48" s="36">
        <f>IF(J48=0,"",K48/J48)</f>
        <v/>
      </c>
      <c r="N48" s="37">
        <f>IF(J48=0,"لا ينطبق",IF(K48&gt;=J48,"مكتمل",IF(K48=0,"لا يوجد","عجز")))</f>
        <v/>
      </c>
      <c r="O48" s="38">
        <f>IF(CAP&lt;=$D$4,D48*CAP/$D$4,IF(CAP&gt;=$I$4,I48*CAP/$I$4,INDEX($D48:$I48,$D$3)+$E$3*(INDEX($D48:$I48,$D$3+1)-INDEX($D48:$I48,$D$3))))</f>
        <v/>
      </c>
      <c r="P48" s="39" t="inlineStr"/>
    </row>
    <row r="49">
      <c r="A49" s="30" t="n">
        <v>45</v>
      </c>
      <c r="B49" s="31" t="inlineStr">
        <is>
          <t>إداري</t>
        </is>
      </c>
      <c r="C49" s="5" t="inlineStr">
        <is>
          <t>إداري إسكان</t>
        </is>
      </c>
      <c r="D49" s="32" t="n">
        <v>2</v>
      </c>
      <c r="E49" s="32" t="n">
        <v>2</v>
      </c>
      <c r="F49" s="32" t="n">
        <v>3</v>
      </c>
      <c r="G49" s="32" t="n">
        <v>3</v>
      </c>
      <c r="H49" s="32" t="n">
        <v>4</v>
      </c>
      <c r="I49" s="32" t="n">
        <v>4</v>
      </c>
      <c r="J49" s="33">
        <f>IF(RMODE="تقريب لأعلى",ROUNDUP(O49,0),ROUND(O49,0))</f>
        <v/>
      </c>
      <c r="K49" s="34" t="n"/>
      <c r="L49" s="35">
        <f>K49-J49</f>
        <v/>
      </c>
      <c r="M49" s="36">
        <f>IF(J49=0,"",K49/J49)</f>
        <v/>
      </c>
      <c r="N49" s="37">
        <f>IF(J49=0,"لا ينطبق",IF(K49&gt;=J49,"مكتمل",IF(K49=0,"لا يوجد","عجز")))</f>
        <v/>
      </c>
      <c r="O49" s="38">
        <f>IF(CAP&lt;=$D$4,D49*CAP/$D$4,IF(CAP&gt;=$I$4,I49*CAP/$I$4,INDEX($D49:$I49,$D$3)+$E$3*(INDEX($D49:$I49,$D$3+1)-INDEX($D49:$I49,$D$3))))</f>
        <v/>
      </c>
      <c r="P49" s="39" t="inlineStr"/>
    </row>
    <row r="50">
      <c r="A50" s="30" t="n">
        <v>46</v>
      </c>
      <c r="B50" s="31" t="inlineStr">
        <is>
          <t>إداري</t>
        </is>
      </c>
      <c r="C50" s="5" t="inlineStr">
        <is>
          <t>مسؤول سلامة الغازات الطبية</t>
        </is>
      </c>
      <c r="D50" s="32" t="n">
        <v>2</v>
      </c>
      <c r="E50" s="32" t="n">
        <v>3</v>
      </c>
      <c r="F50" s="32" t="n">
        <v>4</v>
      </c>
      <c r="G50" s="32" t="n">
        <v>4</v>
      </c>
      <c r="H50" s="32" t="n">
        <v>5</v>
      </c>
      <c r="I50" s="32" t="n">
        <v>5</v>
      </c>
      <c r="J50" s="33">
        <f>IF(RMODE="تقريب لأعلى",ROUNDUP(O50,0),ROUND(O50,0))</f>
        <v/>
      </c>
      <c r="K50" s="34" t="n"/>
      <c r="L50" s="35">
        <f>K50-J50</f>
        <v/>
      </c>
      <c r="M50" s="36">
        <f>IF(J50=0,"",K50/J50)</f>
        <v/>
      </c>
      <c r="N50" s="37">
        <f>IF(J50=0,"لا ينطبق",IF(K50&gt;=J50,"مكتمل",IF(K50=0,"لا يوجد","عجز")))</f>
        <v/>
      </c>
      <c r="O50" s="38">
        <f>IF(CAP&lt;=$D$4,D50*CAP/$D$4,IF(CAP&gt;=$I$4,I50*CAP/$I$4,INDEX($D50:$I50,$D$3)+$E$3*(INDEX($D50:$I50,$D$3+1)-INDEX($D50:$I50,$D$3))))</f>
        <v/>
      </c>
      <c r="P50" s="39" t="inlineStr"/>
    </row>
    <row r="51">
      <c r="A51" s="30" t="n">
        <v>47</v>
      </c>
      <c r="B51" s="31" t="inlineStr">
        <is>
          <t>إداري</t>
        </is>
      </c>
      <c r="C51" s="5" t="inlineStr">
        <is>
          <t>أمين عهدة</t>
        </is>
      </c>
      <c r="D51" s="32" t="n">
        <v>2</v>
      </c>
      <c r="E51" s="32" t="n">
        <v>3</v>
      </c>
      <c r="F51" s="32" t="n">
        <v>3</v>
      </c>
      <c r="G51" s="32" t="n">
        <v>3</v>
      </c>
      <c r="H51" s="32" t="n">
        <v>4</v>
      </c>
      <c r="I51" s="32" t="n">
        <v>4</v>
      </c>
      <c r="J51" s="33">
        <f>IF(RMODE="تقريب لأعلى",ROUNDUP(O51,0),ROUND(O51,0))</f>
        <v/>
      </c>
      <c r="K51" s="34" t="n"/>
      <c r="L51" s="35">
        <f>K51-J51</f>
        <v/>
      </c>
      <c r="M51" s="36">
        <f>IF(J51=0,"",K51/J51)</f>
        <v/>
      </c>
      <c r="N51" s="37">
        <f>IF(J51=0,"لا ينطبق",IF(K51&gt;=J51,"مكتمل",IF(K51=0,"لا يوجد","عجز")))</f>
        <v/>
      </c>
      <c r="O51" s="38">
        <f>IF(CAP&lt;=$D$4,D51*CAP/$D$4,IF(CAP&gt;=$I$4,I51*CAP/$I$4,INDEX($D51:$I51,$D$3)+$E$3*(INDEX($D51:$I51,$D$3+1)-INDEX($D51:$I51,$D$3))))</f>
        <v/>
      </c>
      <c r="P51" s="39" t="inlineStr"/>
    </row>
    <row r="52">
      <c r="A52" s="30" t="n">
        <v>48</v>
      </c>
      <c r="B52" s="31" t="inlineStr">
        <is>
          <t>إداري</t>
        </is>
      </c>
      <c r="C52" s="5" t="inlineStr">
        <is>
          <t>مأمور ساحة استلام</t>
        </is>
      </c>
      <c r="D52" s="32" t="n">
        <v>1</v>
      </c>
      <c r="E52" s="32" t="n">
        <v>2</v>
      </c>
      <c r="F52" s="32" t="n">
        <v>2</v>
      </c>
      <c r="G52" s="32" t="n">
        <v>2</v>
      </c>
      <c r="H52" s="32" t="n">
        <v>2</v>
      </c>
      <c r="I52" s="32" t="n">
        <v>2</v>
      </c>
      <c r="J52" s="33">
        <f>IF(RMODE="تقريب لأعلى",ROUNDUP(O52,0),ROUND(O52,0))</f>
        <v/>
      </c>
      <c r="K52" s="34" t="n"/>
      <c r="L52" s="35">
        <f>K52-J52</f>
        <v/>
      </c>
      <c r="M52" s="36">
        <f>IF(J52=0,"",K52/J52)</f>
        <v/>
      </c>
      <c r="N52" s="37">
        <f>IF(J52=0,"لا ينطبق",IF(K52&gt;=J52,"مكتمل",IF(K52=0,"لا يوجد","عجز")))</f>
        <v/>
      </c>
      <c r="O52" s="38">
        <f>IF(CAP&lt;=$D$4,D52*CAP/$D$4,IF(CAP&gt;=$I$4,I52*CAP/$I$4,INDEX($D52:$I52,$D$3)+$E$3*(INDEX($D52:$I52,$D$3+1)-INDEX($D52:$I52,$D$3))))</f>
        <v/>
      </c>
      <c r="P52" s="39" t="inlineStr"/>
    </row>
    <row r="53">
      <c r="A53" s="30" t="n">
        <v>49</v>
      </c>
      <c r="B53" s="31" t="inlineStr">
        <is>
          <t>إداري</t>
        </is>
      </c>
      <c r="C53" s="5" t="inlineStr">
        <is>
          <t>مدير عمليات أمن</t>
        </is>
      </c>
      <c r="D53" s="32" t="n">
        <v>1</v>
      </c>
      <c r="E53" s="32" t="n">
        <v>1</v>
      </c>
      <c r="F53" s="32" t="n">
        <v>1</v>
      </c>
      <c r="G53" s="32" t="n">
        <v>2</v>
      </c>
      <c r="H53" s="32" t="n">
        <v>2</v>
      </c>
      <c r="I53" s="32" t="n">
        <v>2</v>
      </c>
      <c r="J53" s="33">
        <f>IF(RMODE="تقريب لأعلى",ROUNDUP(O53,0),ROUND(O53,0))</f>
        <v/>
      </c>
      <c r="K53" s="34" t="n"/>
      <c r="L53" s="35">
        <f>K53-J53</f>
        <v/>
      </c>
      <c r="M53" s="36">
        <f>IF(J53=0,"",K53/J53)</f>
        <v/>
      </c>
      <c r="N53" s="37">
        <f>IF(J53=0,"لا ينطبق",IF(K53&gt;=J53,"مكتمل",IF(K53=0,"لا يوجد","عجز")))</f>
        <v/>
      </c>
      <c r="O53" s="38">
        <f>IF(CAP&lt;=$D$4,D53*CAP/$D$4,IF(CAP&gt;=$I$4,I53*CAP/$I$4,INDEX($D53:$I53,$D$3)+$E$3*(INDEX($D53:$I53,$D$3+1)-INDEX($D53:$I53,$D$3))))</f>
        <v/>
      </c>
      <c r="P53" s="39" t="inlineStr"/>
    </row>
    <row r="54">
      <c r="A54" s="30" t="n">
        <v>50</v>
      </c>
      <c r="B54" s="31" t="inlineStr">
        <is>
          <t>إداري</t>
        </is>
      </c>
      <c r="C54" s="5" t="inlineStr">
        <is>
          <t>مراسل</t>
        </is>
      </c>
      <c r="D54" s="32" t="n">
        <v>2</v>
      </c>
      <c r="E54" s="32" t="n">
        <v>2</v>
      </c>
      <c r="F54" s="32" t="n">
        <v>2</v>
      </c>
      <c r="G54" s="32" t="n">
        <v>3</v>
      </c>
      <c r="H54" s="32" t="n">
        <v>3</v>
      </c>
      <c r="I54" s="32" t="n">
        <v>3</v>
      </c>
      <c r="J54" s="33">
        <f>IF(RMODE="تقريب لأعلى",ROUNDUP(O54,0),ROUND(O54,0))</f>
        <v/>
      </c>
      <c r="K54" s="34" t="n"/>
      <c r="L54" s="35">
        <f>K54-J54</f>
        <v/>
      </c>
      <c r="M54" s="36">
        <f>IF(J54=0,"",K54/J54)</f>
        <v/>
      </c>
      <c r="N54" s="37">
        <f>IF(J54=0,"لا ينطبق",IF(K54&gt;=J54,"مكتمل",IF(K54=0,"لا يوجد","عجز")))</f>
        <v/>
      </c>
      <c r="O54" s="38">
        <f>IF(CAP&lt;=$D$4,D54*CAP/$D$4,IF(CAP&gt;=$I$4,I54*CAP/$I$4,INDEX($D54:$I54,$D$3)+$E$3*(INDEX($D54:$I54,$D$3+1)-INDEX($D54:$I54,$D$3))))</f>
        <v/>
      </c>
      <c r="P54" s="39" t="inlineStr"/>
    </row>
    <row r="55">
      <c r="A55" s="30" t="n">
        <v>51</v>
      </c>
      <c r="B55" s="31" t="inlineStr">
        <is>
          <t>إداري</t>
        </is>
      </c>
      <c r="C55" s="5" t="inlineStr">
        <is>
          <t>سائق سيارة</t>
        </is>
      </c>
      <c r="D55" s="32" t="n">
        <v>2</v>
      </c>
      <c r="E55" s="32" t="n">
        <v>2</v>
      </c>
      <c r="F55" s="32" t="n">
        <v>2</v>
      </c>
      <c r="G55" s="32" t="n">
        <v>3</v>
      </c>
      <c r="H55" s="32" t="n">
        <v>3</v>
      </c>
      <c r="I55" s="32" t="n">
        <v>3</v>
      </c>
      <c r="J55" s="33">
        <f>IF(RMODE="تقريب لأعلى",ROUNDUP(O55,0),ROUND(O55,0))</f>
        <v/>
      </c>
      <c r="K55" s="34" t="n"/>
      <c r="L55" s="35">
        <f>K55-J55</f>
        <v/>
      </c>
      <c r="M55" s="36">
        <f>IF(J55=0,"",K55/J55)</f>
        <v/>
      </c>
      <c r="N55" s="37">
        <f>IF(J55=0,"لا ينطبق",IF(K55&gt;=J55,"مكتمل",IF(K55=0,"لا يوجد","عجز")))</f>
        <v/>
      </c>
      <c r="O55" s="38">
        <f>IF(CAP&lt;=$D$4,D55*CAP/$D$4,IF(CAP&gt;=$I$4,I55*CAP/$I$4,INDEX($D55:$I55,$D$3)+$E$3*(INDEX($D55:$I55,$D$3+1)-INDEX($D55:$I55,$D$3))))</f>
        <v/>
      </c>
      <c r="P55" s="39" t="inlineStr"/>
    </row>
    <row r="56">
      <c r="A56" s="30" t="n">
        <v>52</v>
      </c>
      <c r="B56" s="31" t="inlineStr">
        <is>
          <t>إداري</t>
        </is>
      </c>
      <c r="C56" s="5" t="inlineStr">
        <is>
          <t>مدير مستشفى</t>
        </is>
      </c>
      <c r="D56" s="32" t="n">
        <v>1</v>
      </c>
      <c r="E56" s="32" t="n">
        <v>1</v>
      </c>
      <c r="F56" s="32" t="n">
        <v>1</v>
      </c>
      <c r="G56" s="32" t="n">
        <v>1</v>
      </c>
      <c r="H56" s="32" t="n">
        <v>1</v>
      </c>
      <c r="I56" s="32" t="n">
        <v>1</v>
      </c>
      <c r="J56" s="33">
        <f>IF(RMODE="تقريب لأعلى",ROUNDUP(O56,0),ROUND(O56,0))</f>
        <v/>
      </c>
      <c r="K56" s="34" t="n"/>
      <c r="L56" s="35">
        <f>K56-J56</f>
        <v/>
      </c>
      <c r="M56" s="36">
        <f>IF(J56=0,"",K56/J56)</f>
        <v/>
      </c>
      <c r="N56" s="37">
        <f>IF(J56=0,"لا ينطبق",IF(K56&gt;=J56,"مكتمل",IF(K56=0,"لا يوجد","عجز")))</f>
        <v/>
      </c>
      <c r="O56" s="38">
        <f>IF(CAP&lt;=$D$4,D56*CAP/$D$4,IF(CAP&gt;=$I$4,I56*CAP/$I$4,INDEX($D56:$I56,$D$3)+$E$3*(INDEX($D56:$I56,$D$3+1)-INDEX($D56:$I56,$D$3))))</f>
        <v/>
      </c>
      <c r="P56" s="39" t="inlineStr"/>
    </row>
    <row r="57">
      <c r="A57" s="30" t="n">
        <v>53</v>
      </c>
      <c r="B57" s="31" t="inlineStr">
        <is>
          <t>إداري</t>
        </is>
      </c>
      <c r="C57" s="5" t="inlineStr">
        <is>
          <t>أخصائي - مساعد مدير مستشفى</t>
        </is>
      </c>
      <c r="D57" s="32" t="n">
        <v>1</v>
      </c>
      <c r="E57" s="32" t="n">
        <v>1</v>
      </c>
      <c r="F57" s="32" t="n">
        <v>1</v>
      </c>
      <c r="G57" s="32" t="n">
        <v>1</v>
      </c>
      <c r="H57" s="32" t="n">
        <v>2</v>
      </c>
      <c r="I57" s="32" t="n">
        <v>3</v>
      </c>
      <c r="J57" s="33">
        <f>IF(RMODE="تقريب لأعلى",ROUNDUP(O57,0),ROUND(O57,0))</f>
        <v/>
      </c>
      <c r="K57" s="34" t="n"/>
      <c r="L57" s="35">
        <f>K57-J57</f>
        <v/>
      </c>
      <c r="M57" s="36">
        <f>IF(J57=0,"",K57/J57)</f>
        <v/>
      </c>
      <c r="N57" s="37">
        <f>IF(J57=0,"لا ينطبق",IF(K57&gt;=J57,"مكتمل",IF(K57=0,"لا يوجد","عجز")))</f>
        <v/>
      </c>
      <c r="O57" s="38">
        <f>IF(CAP&lt;=$D$4,D57*CAP/$D$4,IF(CAP&gt;=$I$4,I57*CAP/$I$4,INDEX($D57:$I57,$D$3)+$E$3*(INDEX($D57:$I57,$D$3+1)-INDEX($D57:$I57,$D$3))))</f>
        <v/>
      </c>
      <c r="P57" s="39" t="inlineStr"/>
    </row>
    <row r="58">
      <c r="A58" s="30" t="n">
        <v>54</v>
      </c>
      <c r="B58" s="31" t="inlineStr">
        <is>
          <t>إداري</t>
        </is>
      </c>
      <c r="C58" s="5" t="inlineStr">
        <is>
          <t>فني - مساعد مدير مستشفى</t>
        </is>
      </c>
      <c r="D58" s="32" t="n">
        <v>0</v>
      </c>
      <c r="E58" s="32" t="n">
        <v>0</v>
      </c>
      <c r="F58" s="32" t="n">
        <v>1</v>
      </c>
      <c r="G58" s="32" t="n">
        <v>2</v>
      </c>
      <c r="H58" s="32" t="n">
        <v>2</v>
      </c>
      <c r="I58" s="32" t="n">
        <v>2</v>
      </c>
      <c r="J58" s="33">
        <f>IF(RMODE="تقريب لأعلى",ROUNDUP(O58,0),ROUND(O58,0))</f>
        <v/>
      </c>
      <c r="K58" s="34" t="n"/>
      <c r="L58" s="35">
        <f>K58-J58</f>
        <v/>
      </c>
      <c r="M58" s="36">
        <f>IF(J58=0,"",K58/J58)</f>
        <v/>
      </c>
      <c r="N58" s="37">
        <f>IF(J58=0,"لا ينطبق",IF(K58&gt;=J58,"مكتمل",IF(K58=0,"لا يوجد","عجز")))</f>
        <v/>
      </c>
      <c r="O58" s="38">
        <f>IF(CAP&lt;=$D$4,D58*CAP/$D$4,IF(CAP&gt;=$I$4,I58*CAP/$I$4,INDEX($D58:$I58,$D$3)+$E$3*(INDEX($D58:$I58,$D$3+1)-INDEX($D58:$I58,$D$3))))</f>
        <v/>
      </c>
      <c r="P58" s="39" t="inlineStr"/>
    </row>
    <row r="59">
      <c r="A59" s="40" t="n"/>
      <c r="B59" s="40" t="n"/>
      <c r="C59" s="40" t="inlineStr">
        <is>
          <t>المجموع (محسوب من الجدول)</t>
        </is>
      </c>
      <c r="D59" s="41">
        <f>SUM(D5:D58)</f>
        <v/>
      </c>
      <c r="E59" s="41">
        <f>SUM(E5:E58)</f>
        <v/>
      </c>
      <c r="F59" s="41">
        <f>SUM(F5:F58)</f>
        <v/>
      </c>
      <c r="G59" s="41">
        <f>SUM(G5:G58)</f>
        <v/>
      </c>
      <c r="H59" s="41">
        <f>SUM(H5:H58)</f>
        <v/>
      </c>
      <c r="I59" s="41">
        <f>SUM(I5:I58)</f>
        <v/>
      </c>
      <c r="J59" s="41">
        <f>SUM(J5:J58)</f>
        <v/>
      </c>
      <c r="K59" s="42">
        <f>SUM(K5:K58)</f>
        <v/>
      </c>
      <c r="L59" s="41">
        <f>SUM(L5:L58)</f>
        <v/>
      </c>
      <c r="M59" s="43">
        <f>IF(J59=0,"",K59/J59)</f>
        <v/>
      </c>
      <c r="N59" s="42" t="n"/>
      <c r="O59" s="42">
        <f>SUM(O5:O58)</f>
        <v/>
      </c>
      <c r="P59" s="42" t="n"/>
    </row>
    <row r="60">
      <c r="A60" s="44" t="n"/>
      <c r="B60" s="44" t="n"/>
      <c r="C60" s="44" t="inlineStr">
        <is>
          <t>المجموع المنشور في الدليل</t>
        </is>
      </c>
      <c r="D60" s="44" t="n">
        <v>79</v>
      </c>
      <c r="E60" s="44" t="n">
        <v>88</v>
      </c>
      <c r="F60" s="44" t="n">
        <v>109</v>
      </c>
      <c r="G60" s="44" t="n">
        <v>131</v>
      </c>
      <c r="H60" s="44" t="n">
        <v>169</v>
      </c>
      <c r="I60" s="44" t="n">
        <v>189</v>
      </c>
    </row>
    <row r="61">
      <c r="A61" s="44" t="n"/>
      <c r="B61" s="44" t="n"/>
      <c r="C61" s="44" t="inlineStr">
        <is>
          <t>الفرق (محسوب − منشور)</t>
        </is>
      </c>
      <c r="D61" s="44">
        <f>D59-D60</f>
        <v/>
      </c>
      <c r="E61" s="44">
        <f>E59-E60</f>
        <v/>
      </c>
      <c r="F61" s="44">
        <f>F59-F60</f>
        <v/>
      </c>
      <c r="G61" s="44">
        <f>G59-G60</f>
        <v/>
      </c>
      <c r="H61" s="44">
        <f>H59-H60</f>
        <v/>
      </c>
      <c r="I61" s="44">
        <f>I59-I60</f>
        <v/>
      </c>
    </row>
  </sheetData>
  <mergeCells count="2">
    <mergeCell ref="A1:P1"/>
    <mergeCell ref="A2:P2"/>
  </mergeCells>
  <conditionalFormatting sqref="N5:N58">
    <cfRule type="expression" priority="1" dxfId="0">
      <formula>OR(N5="عجز",N5="لا يوجد")</formula>
    </cfRule>
    <cfRule type="expression" priority="2" dxfId="1">
      <formula>N5="مكتمل"</formula>
    </cfRule>
  </conditionalFormatting>
  <pageMargins left="0.75" right="0.75" top="1" bottom="1" header="0.5" footer="0.5"/>
</worksheet>
</file>

<file path=xl/worksheets/sheet14.xml><?xml version="1.0" encoding="utf-8"?>
<worksheet xmlns="http://schemas.openxmlformats.org/spreadsheetml/2006/main">
  <sheetPr>
    <tabColor rgb="001F6F6B"/>
    <outlinePr summaryBelow="1" summaryRight="1"/>
    <pageSetUpPr/>
  </sheetPr>
  <dimension ref="A1:P44"/>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9" customWidth="1" min="8" max="8"/>
    <col width="9" customWidth="1" min="9" max="9"/>
    <col width="13" customWidth="1" min="10" max="10"/>
    <col width="12" customWidth="1" min="11" max="11"/>
    <col width="13" customWidth="1" min="12" max="12"/>
    <col width="10" customWidth="1" min="13" max="13"/>
    <col width="11" customWidth="1" min="14" max="14"/>
    <col width="11" customWidth="1" min="15" max="15"/>
    <col width="42" customWidth="1" min="16" max="16"/>
  </cols>
  <sheetData>
    <row r="1" ht="30" customHeight="1">
      <c r="A1" s="1" t="inlineStr">
        <is>
          <t>الصحة النفسية وإرادة</t>
        </is>
      </c>
    </row>
    <row r="2" ht="20" customHeight="1">
      <c r="A2" s="2" t="inlineStr">
        <is>
          <t>الملحق (3) — تفاصيل المعيار المحدّث لمجمعات إرادة والصحة النفسية (صفحات 58-59)</t>
        </is>
      </c>
    </row>
    <row r="3">
      <c r="C3" s="25" t="inlineStr">
        <is>
          <t>معاملا الاستيفاء ◄</t>
        </is>
      </c>
      <c r="D3" s="26">
        <f>IFERROR(MATCH(CAP,$D$4:$I$4,1),1)</f>
        <v/>
      </c>
      <c r="E3" s="27">
        <f>IF(OR(CAP&lt;=$D$4,CAP&gt;=$I$4),0,(CAP-INDEX($D$4:$I$4,$D$3))/(INDEX($D$4:$I$4,$D$3+1)-INDEX($D$4:$I$4,$D$3)))</f>
        <v/>
      </c>
    </row>
    <row r="4" ht="42" customHeight="1">
      <c r="A4" s="28" t="inlineStr">
        <is>
          <t>م</t>
        </is>
      </c>
      <c r="B4" s="28" t="inlineStr">
        <is>
          <t>الفئة</t>
        </is>
      </c>
      <c r="C4" s="28" t="inlineStr">
        <is>
          <t>المسمى الوظيفي</t>
        </is>
      </c>
      <c r="D4" s="29" t="n">
        <v>50</v>
      </c>
      <c r="E4" s="29" t="n">
        <v>100</v>
      </c>
      <c r="F4" s="29" t="n">
        <v>200</v>
      </c>
      <c r="G4" s="29" t="n">
        <v>300</v>
      </c>
      <c r="H4" s="29" t="n">
        <v>400</v>
      </c>
      <c r="I4" s="29" t="n">
        <v>500</v>
      </c>
      <c r="J4" s="28" t="inlineStr">
        <is>
          <t>الاحتياج للسعة المدخلة</t>
        </is>
      </c>
      <c r="K4" s="28" t="inlineStr">
        <is>
          <t>الموجود فعلياً</t>
        </is>
      </c>
      <c r="L4" s="28" t="inlineStr">
        <is>
          <t>الفجوة (+فائض / -عجز)</t>
        </is>
      </c>
      <c r="M4" s="28" t="inlineStr">
        <is>
          <t>نسبة التغطية</t>
        </is>
      </c>
      <c r="N4" s="28" t="inlineStr">
        <is>
          <t>الحالة</t>
        </is>
      </c>
      <c r="O4" s="28" t="inlineStr">
        <is>
          <t>القيمة قبل التقريب</t>
        </is>
      </c>
      <c r="P4" s="28" t="inlineStr">
        <is>
          <t>ملاحظات</t>
        </is>
      </c>
    </row>
    <row r="5">
      <c r="A5" s="30" t="n">
        <v>1</v>
      </c>
      <c r="B5" s="31" t="inlineStr">
        <is>
          <t>طبيب</t>
        </is>
      </c>
      <c r="C5" s="5" t="inlineStr">
        <is>
          <t>طبيب استشاري نفسي / إدمان</t>
        </is>
      </c>
      <c r="D5" s="32" t="n">
        <v>4</v>
      </c>
      <c r="E5" s="32" t="n">
        <v>6</v>
      </c>
      <c r="F5" s="32" t="n">
        <v>9</v>
      </c>
      <c r="G5" s="32" t="n">
        <v>12</v>
      </c>
      <c r="H5" s="32" t="n">
        <v>16</v>
      </c>
      <c r="I5" s="32" t="n">
        <v>22</v>
      </c>
      <c r="J5" s="33">
        <f>IF(RMODE="تقريب لأعلى",ROUNDUP(O5,0),ROUND(O5,0))</f>
        <v/>
      </c>
      <c r="K5" s="34" t="n"/>
      <c r="L5" s="35">
        <f>K5-J5</f>
        <v/>
      </c>
      <c r="M5" s="36">
        <f>IF(J5=0,"",K5/J5)</f>
        <v/>
      </c>
      <c r="N5" s="37">
        <f>IF(J5=0,"لا ينطبق",IF(K5&gt;=J5,"مكتمل",IF(K5=0,"لا يوجد","عجز")))</f>
        <v/>
      </c>
      <c r="O5" s="38">
        <f>IF(CAP&lt;=$D$4,D5*CAP/$D$4,IF(CAP&gt;=$I$4,I5*CAP/$I$4,INDEX($D5:$I5,$D$3)+$E$3*(INDEX($D5:$I5,$D$3+1)-INDEX($D5:$I5,$D$3))))</f>
        <v/>
      </c>
      <c r="P5" s="39" t="inlineStr"/>
    </row>
    <row r="6">
      <c r="A6" s="30" t="n">
        <v>2</v>
      </c>
      <c r="B6" s="31" t="inlineStr">
        <is>
          <t>طبيب</t>
        </is>
      </c>
      <c r="C6" s="5" t="inlineStr">
        <is>
          <t>طبيب استشاري مختبر / أمراض دم</t>
        </is>
      </c>
      <c r="D6" s="32" t="n">
        <v>0</v>
      </c>
      <c r="E6" s="32" t="n">
        <v>0</v>
      </c>
      <c r="F6" s="32" t="n">
        <v>2</v>
      </c>
      <c r="G6" s="32" t="n">
        <v>3</v>
      </c>
      <c r="H6" s="32" t="n">
        <v>4</v>
      </c>
      <c r="I6" s="32" t="n">
        <v>4</v>
      </c>
      <c r="J6" s="33">
        <f>IF(RMODE="تقريب لأعلى",ROUNDUP(O6,0),ROUND(O6,0))</f>
        <v/>
      </c>
      <c r="K6" s="34" t="n"/>
      <c r="L6" s="35">
        <f>K6-J6</f>
        <v/>
      </c>
      <c r="M6" s="36">
        <f>IF(J6=0,"",K6/J6)</f>
        <v/>
      </c>
      <c r="N6" s="37">
        <f>IF(J6=0,"لا ينطبق",IF(K6&gt;=J6,"مكتمل",IF(K6=0,"لا يوجد","عجز")))</f>
        <v/>
      </c>
      <c r="O6" s="38">
        <f>IF(CAP&lt;=$D$4,D6*CAP/$D$4,IF(CAP&gt;=$I$4,I6*CAP/$I$4,INDEX($D6:$I6,$D$3)+$E$3*(INDEX($D6:$I6,$D$3+1)-INDEX($D6:$I6,$D$3))))</f>
        <v/>
      </c>
      <c r="P6" s="39" t="inlineStr"/>
    </row>
    <row r="7">
      <c r="A7" s="30" t="n">
        <v>3</v>
      </c>
      <c r="B7" s="31" t="inlineStr">
        <is>
          <t>طبيب</t>
        </is>
      </c>
      <c r="C7" s="5" t="inlineStr">
        <is>
          <t>طبيب استشاري باطنة</t>
        </is>
      </c>
      <c r="D7" s="32" t="n">
        <v>0</v>
      </c>
      <c r="E7" s="32" t="n">
        <v>0</v>
      </c>
      <c r="F7" s="32" t="n">
        <v>2</v>
      </c>
      <c r="G7" s="32" t="n">
        <v>2</v>
      </c>
      <c r="H7" s="32" t="n">
        <v>2</v>
      </c>
      <c r="I7" s="32" t="n">
        <v>2</v>
      </c>
      <c r="J7" s="33">
        <f>IF(RMODE="تقريب لأعلى",ROUNDUP(O7,0),ROUND(O7,0))</f>
        <v/>
      </c>
      <c r="K7" s="34" t="n"/>
      <c r="L7" s="35">
        <f>K7-J7</f>
        <v/>
      </c>
      <c r="M7" s="36">
        <f>IF(J7=0,"",K7/J7)</f>
        <v/>
      </c>
      <c r="N7" s="37">
        <f>IF(J7=0,"لا ينطبق",IF(K7&gt;=J7,"مكتمل",IF(K7=0,"لا يوجد","عجز")))</f>
        <v/>
      </c>
      <c r="O7" s="38">
        <f>IF(CAP&lt;=$D$4,D7*CAP/$D$4,IF(CAP&gt;=$I$4,I7*CAP/$I$4,INDEX($D7:$I7,$D$3)+$E$3*(INDEX($D7:$I7,$D$3+1)-INDEX($D7:$I7,$D$3))))</f>
        <v/>
      </c>
      <c r="P7" s="39" t="inlineStr"/>
    </row>
    <row r="8">
      <c r="A8" s="30" t="n">
        <v>4</v>
      </c>
      <c r="B8" s="31" t="inlineStr">
        <is>
          <t>طبيب</t>
        </is>
      </c>
      <c r="C8" s="5" t="inlineStr">
        <is>
          <t>طبيب استشاري أخرى (تخدير / أسنان / جلدية ...)</t>
        </is>
      </c>
      <c r="D8" s="32" t="n">
        <v>1</v>
      </c>
      <c r="E8" s="32" t="n">
        <v>2</v>
      </c>
      <c r="F8" s="32" t="n">
        <v>1</v>
      </c>
      <c r="G8" s="32" t="n">
        <v>3</v>
      </c>
      <c r="H8" s="32" t="n">
        <v>3</v>
      </c>
      <c r="I8" s="32" t="n">
        <v>4</v>
      </c>
      <c r="J8" s="33">
        <f>IF(RMODE="تقريب لأعلى",ROUNDUP(O8,0),ROUND(O8,0))</f>
        <v/>
      </c>
      <c r="K8" s="34" t="n"/>
      <c r="L8" s="35">
        <f>K8-J8</f>
        <v/>
      </c>
      <c r="M8" s="36">
        <f>IF(J8=0,"",K8/J8)</f>
        <v/>
      </c>
      <c r="N8" s="37">
        <f>IF(J8=0,"لا ينطبق",IF(K8&gt;=J8,"مكتمل",IF(K8=0,"لا يوجد","عجز")))</f>
        <v/>
      </c>
      <c r="O8" s="38">
        <f>IF(CAP&lt;=$D$4,D8*CAP/$D$4,IF(CAP&gt;=$I$4,I8*CAP/$I$4,INDEX($D8:$I8,$D$3)+$E$3*(INDEX($D8:$I8,$D$3+1)-INDEX($D8:$I8,$D$3))))</f>
        <v/>
      </c>
      <c r="P8" s="39" t="inlineStr"/>
    </row>
    <row r="9">
      <c r="A9" s="30" t="n">
        <v>5</v>
      </c>
      <c r="B9" s="31" t="inlineStr">
        <is>
          <t>طبيب</t>
        </is>
      </c>
      <c r="C9" s="5" t="inlineStr">
        <is>
          <t>طبيب نائب نفسي / إدمان</t>
        </is>
      </c>
      <c r="D9" s="32" t="n">
        <v>7</v>
      </c>
      <c r="E9" s="32" t="n">
        <v>12</v>
      </c>
      <c r="F9" s="32" t="n">
        <v>16</v>
      </c>
      <c r="G9" s="32" t="n">
        <v>20</v>
      </c>
      <c r="H9" s="32" t="n">
        <v>28</v>
      </c>
      <c r="I9" s="32" t="n">
        <v>37</v>
      </c>
      <c r="J9" s="33">
        <f>IF(RMODE="تقريب لأعلى",ROUNDUP(O9,0),ROUND(O9,0))</f>
        <v/>
      </c>
      <c r="K9" s="34" t="n"/>
      <c r="L9" s="35">
        <f>K9-J9</f>
        <v/>
      </c>
      <c r="M9" s="36">
        <f>IF(J9=0,"",K9/J9)</f>
        <v/>
      </c>
      <c r="N9" s="37">
        <f>IF(J9=0,"لا ينطبق",IF(K9&gt;=J9,"مكتمل",IF(K9=0,"لا يوجد","عجز")))</f>
        <v/>
      </c>
      <c r="O9" s="38">
        <f>IF(CAP&lt;=$D$4,D9*CAP/$D$4,IF(CAP&gt;=$I$4,I9*CAP/$I$4,INDEX($D9:$I9,$D$3)+$E$3*(INDEX($D9:$I9,$D$3+1)-INDEX($D9:$I9,$D$3))))</f>
        <v/>
      </c>
      <c r="P9" s="39" t="inlineStr"/>
    </row>
    <row r="10">
      <c r="A10" s="30" t="n">
        <v>6</v>
      </c>
      <c r="B10" s="31" t="inlineStr">
        <is>
          <t>طبيب</t>
        </is>
      </c>
      <c r="C10" s="5" t="inlineStr">
        <is>
          <t>طبيب نائب مختبر / أمراض دم</t>
        </is>
      </c>
      <c r="D10" s="32" t="n">
        <v>1</v>
      </c>
      <c r="E10" s="32" t="n">
        <v>1</v>
      </c>
      <c r="F10" s="32" t="n">
        <v>1</v>
      </c>
      <c r="G10" s="32" t="n">
        <v>2</v>
      </c>
      <c r="H10" s="32" t="n">
        <v>3</v>
      </c>
      <c r="I10" s="32" t="n">
        <v>3</v>
      </c>
      <c r="J10" s="33">
        <f>IF(RMODE="تقريب لأعلى",ROUNDUP(O10,0),ROUND(O10,0))</f>
        <v/>
      </c>
      <c r="K10" s="34" t="n"/>
      <c r="L10" s="35">
        <f>K10-J10</f>
        <v/>
      </c>
      <c r="M10" s="36">
        <f>IF(J10=0,"",K10/J10)</f>
        <v/>
      </c>
      <c r="N10" s="37">
        <f>IF(J10=0,"لا ينطبق",IF(K10&gt;=J10,"مكتمل",IF(K10=0,"لا يوجد","عجز")))</f>
        <v/>
      </c>
      <c r="O10" s="38">
        <f>IF(CAP&lt;=$D$4,D10*CAP/$D$4,IF(CAP&gt;=$I$4,I10*CAP/$I$4,INDEX($D10:$I10,$D$3)+$E$3*(INDEX($D10:$I10,$D$3+1)-INDEX($D10:$I10,$D$3))))</f>
        <v/>
      </c>
      <c r="P10" s="39" t="inlineStr"/>
    </row>
    <row r="11">
      <c r="A11" s="30" t="n">
        <v>7</v>
      </c>
      <c r="B11" s="31" t="inlineStr">
        <is>
          <t>طبيب</t>
        </is>
      </c>
      <c r="C11" s="5" t="inlineStr">
        <is>
          <t>طبيب نائب باطنة</t>
        </is>
      </c>
      <c r="D11" s="32" t="n">
        <v>1</v>
      </c>
      <c r="E11" s="32" t="n">
        <v>1</v>
      </c>
      <c r="F11" s="32" t="n">
        <v>2</v>
      </c>
      <c r="G11" s="32" t="n">
        <v>2</v>
      </c>
      <c r="H11" s="32" t="n">
        <v>2</v>
      </c>
      <c r="I11" s="32" t="n">
        <v>5</v>
      </c>
      <c r="J11" s="33">
        <f>IF(RMODE="تقريب لأعلى",ROUNDUP(O11,0),ROUND(O11,0))</f>
        <v/>
      </c>
      <c r="K11" s="34" t="n"/>
      <c r="L11" s="35">
        <f>K11-J11</f>
        <v/>
      </c>
      <c r="M11" s="36">
        <f>IF(J11=0,"",K11/J11)</f>
        <v/>
      </c>
      <c r="N11" s="37">
        <f>IF(J11=0,"لا ينطبق",IF(K11&gt;=J11,"مكتمل",IF(K11=0,"لا يوجد","عجز")))</f>
        <v/>
      </c>
      <c r="O11" s="38">
        <f>IF(CAP&lt;=$D$4,D11*CAP/$D$4,IF(CAP&gt;=$I$4,I11*CAP/$I$4,INDEX($D11:$I11,$D$3)+$E$3*(INDEX($D11:$I11,$D$3+1)-INDEX($D11:$I11,$D$3))))</f>
        <v/>
      </c>
      <c r="P11" s="39" t="inlineStr"/>
    </row>
    <row r="12">
      <c r="A12" s="30" t="n">
        <v>8</v>
      </c>
      <c r="B12" s="31" t="inlineStr">
        <is>
          <t>طبيب</t>
        </is>
      </c>
      <c r="C12" s="5" t="inlineStr">
        <is>
          <t>طبيب نائب أخرى (تخدير / أسنان / جلدية ...)</t>
        </is>
      </c>
      <c r="D12" s="32" t="n">
        <v>1</v>
      </c>
      <c r="E12" s="32" t="n">
        <v>1</v>
      </c>
      <c r="F12" s="32" t="n">
        <v>1</v>
      </c>
      <c r="G12" s="32" t="n">
        <v>1</v>
      </c>
      <c r="H12" s="32" t="n">
        <v>2</v>
      </c>
      <c r="I12" s="32" t="n">
        <v>5</v>
      </c>
      <c r="J12" s="33">
        <f>IF(RMODE="تقريب لأعلى",ROUNDUP(O12,0),ROUND(O12,0))</f>
        <v/>
      </c>
      <c r="K12" s="34" t="n"/>
      <c r="L12" s="35">
        <f>K12-J12</f>
        <v/>
      </c>
      <c r="M12" s="36">
        <f>IF(J12=0,"",K12/J12)</f>
        <v/>
      </c>
      <c r="N12" s="37">
        <f>IF(J12=0,"لا ينطبق",IF(K12&gt;=J12,"مكتمل",IF(K12=0,"لا يوجد","عجز")))</f>
        <v/>
      </c>
      <c r="O12" s="38">
        <f>IF(CAP&lt;=$D$4,D12*CAP/$D$4,IF(CAP&gt;=$I$4,I12*CAP/$I$4,INDEX($D12:$I12,$D$3)+$E$3*(INDEX($D12:$I12,$D$3+1)-INDEX($D12:$I12,$D$3))))</f>
        <v/>
      </c>
      <c r="P12" s="39" t="inlineStr"/>
    </row>
    <row r="13">
      <c r="A13" s="30" t="n">
        <v>9</v>
      </c>
      <c r="B13" s="31" t="inlineStr">
        <is>
          <t>طبيب</t>
        </is>
      </c>
      <c r="C13" s="5" t="inlineStr">
        <is>
          <t>طبيب مقيم نفسي / إدمان</t>
        </is>
      </c>
      <c r="D13" s="32" t="n">
        <v>10</v>
      </c>
      <c r="E13" s="32" t="n">
        <v>15</v>
      </c>
      <c r="F13" s="32" t="n">
        <v>25</v>
      </c>
      <c r="G13" s="32" t="n">
        <v>42</v>
      </c>
      <c r="H13" s="32" t="n">
        <v>55</v>
      </c>
      <c r="I13" s="32" t="n">
        <v>70</v>
      </c>
      <c r="J13" s="33">
        <f>IF(RMODE="تقريب لأعلى",ROUNDUP(O13,0),ROUND(O13,0))</f>
        <v/>
      </c>
      <c r="K13" s="34" t="n"/>
      <c r="L13" s="35">
        <f>K13-J13</f>
        <v/>
      </c>
      <c r="M13" s="36">
        <f>IF(J13=0,"",K13/J13)</f>
        <v/>
      </c>
      <c r="N13" s="37">
        <f>IF(J13=0,"لا ينطبق",IF(K13&gt;=J13,"مكتمل",IF(K13=0,"لا يوجد","عجز")))</f>
        <v/>
      </c>
      <c r="O13" s="38">
        <f>IF(CAP&lt;=$D$4,D13*CAP/$D$4,IF(CAP&gt;=$I$4,I13*CAP/$I$4,INDEX($D13:$I13,$D$3)+$E$3*(INDEX($D13:$I13,$D$3+1)-INDEX($D13:$I13,$D$3))))</f>
        <v/>
      </c>
      <c r="P13" s="39" t="inlineStr"/>
    </row>
    <row r="14">
      <c r="A14" s="30" t="n">
        <v>10</v>
      </c>
      <c r="B14" s="31" t="inlineStr">
        <is>
          <t>طبيب</t>
        </is>
      </c>
      <c r="C14" s="5" t="inlineStr">
        <is>
          <t>طبيب مقيم مختبر / أمراض دم</t>
        </is>
      </c>
      <c r="D14" s="32" t="n">
        <v>2</v>
      </c>
      <c r="E14" s="32" t="n">
        <v>2</v>
      </c>
      <c r="F14" s="32" t="n">
        <v>3</v>
      </c>
      <c r="G14" s="32" t="n">
        <v>3</v>
      </c>
      <c r="H14" s="32" t="n">
        <v>4</v>
      </c>
      <c r="I14" s="32" t="n">
        <v>4</v>
      </c>
      <c r="J14" s="33">
        <f>IF(RMODE="تقريب لأعلى",ROUNDUP(O14,0),ROUND(O14,0))</f>
        <v/>
      </c>
      <c r="K14" s="34" t="n"/>
      <c r="L14" s="35">
        <f>K14-J14</f>
        <v/>
      </c>
      <c r="M14" s="36">
        <f>IF(J14=0,"",K14/J14)</f>
        <v/>
      </c>
      <c r="N14" s="37">
        <f>IF(J14=0,"لا ينطبق",IF(K14&gt;=J14,"مكتمل",IF(K14=0,"لا يوجد","عجز")))</f>
        <v/>
      </c>
      <c r="O14" s="38">
        <f>IF(CAP&lt;=$D$4,D14*CAP/$D$4,IF(CAP&gt;=$I$4,I14*CAP/$I$4,INDEX($D14:$I14,$D$3)+$E$3*(INDEX($D14:$I14,$D$3+1)-INDEX($D14:$I14,$D$3))))</f>
        <v/>
      </c>
      <c r="P14" s="39" t="inlineStr"/>
    </row>
    <row r="15">
      <c r="A15" s="30" t="n">
        <v>11</v>
      </c>
      <c r="B15" s="31" t="inlineStr">
        <is>
          <t>طبيب</t>
        </is>
      </c>
      <c r="C15" s="5" t="inlineStr">
        <is>
          <t>طبيب مقيم باطنة</t>
        </is>
      </c>
      <c r="D15" s="32" t="n">
        <v>3</v>
      </c>
      <c r="E15" s="32" t="n">
        <v>3</v>
      </c>
      <c r="F15" s="32" t="n">
        <v>4</v>
      </c>
      <c r="G15" s="32" t="n">
        <v>5</v>
      </c>
      <c r="H15" s="32" t="n">
        <v>6</v>
      </c>
      <c r="I15" s="32" t="n">
        <v>10</v>
      </c>
      <c r="J15" s="33">
        <f>IF(RMODE="تقريب لأعلى",ROUNDUP(O15,0),ROUND(O15,0))</f>
        <v/>
      </c>
      <c r="K15" s="34" t="n"/>
      <c r="L15" s="35">
        <f>K15-J15</f>
        <v/>
      </c>
      <c r="M15" s="36">
        <f>IF(J15=0,"",K15/J15)</f>
        <v/>
      </c>
      <c r="N15" s="37">
        <f>IF(J15=0,"لا ينطبق",IF(K15&gt;=J15,"مكتمل",IF(K15=0,"لا يوجد","عجز")))</f>
        <v/>
      </c>
      <c r="O15" s="38">
        <f>IF(CAP&lt;=$D$4,D15*CAP/$D$4,IF(CAP&gt;=$I$4,I15*CAP/$I$4,INDEX($D15:$I15,$D$3)+$E$3*(INDEX($D15:$I15,$D$3+1)-INDEX($D15:$I15,$D$3))))</f>
        <v/>
      </c>
      <c r="P15" s="39" t="inlineStr"/>
    </row>
    <row r="16">
      <c r="A16" s="30" t="n">
        <v>12</v>
      </c>
      <c r="B16" s="31" t="inlineStr">
        <is>
          <t>طبيب</t>
        </is>
      </c>
      <c r="C16" s="5" t="inlineStr">
        <is>
          <t>طبيب مقيم أخرى (تخدير / أسنان / جلدية ...)</t>
        </is>
      </c>
      <c r="D16" s="32" t="n">
        <v>5</v>
      </c>
      <c r="E16" s="32" t="n">
        <v>5</v>
      </c>
      <c r="F16" s="32" t="n">
        <v>8</v>
      </c>
      <c r="G16" s="32" t="n">
        <v>10</v>
      </c>
      <c r="H16" s="32" t="n">
        <v>15</v>
      </c>
      <c r="I16" s="32" t="n">
        <v>16</v>
      </c>
      <c r="J16" s="33">
        <f>IF(RMODE="تقريب لأعلى",ROUNDUP(O16,0),ROUND(O16,0))</f>
        <v/>
      </c>
      <c r="K16" s="34" t="n"/>
      <c r="L16" s="35">
        <f>K16-J16</f>
        <v/>
      </c>
      <c r="M16" s="36">
        <f>IF(J16=0,"",K16/J16)</f>
        <v/>
      </c>
      <c r="N16" s="37">
        <f>IF(J16=0,"لا ينطبق",IF(K16&gt;=J16,"مكتمل",IF(K16=0,"لا يوجد","عجز")))</f>
        <v/>
      </c>
      <c r="O16" s="38">
        <f>IF(CAP&lt;=$D$4,D16*CAP/$D$4,IF(CAP&gt;=$I$4,I16*CAP/$I$4,INDEX($D16:$I16,$D$3)+$E$3*(INDEX($D16:$I16,$D$3+1)-INDEX($D16:$I16,$D$3))))</f>
        <v/>
      </c>
      <c r="P16" s="39" t="inlineStr"/>
    </row>
    <row r="17">
      <c r="A17" s="30" t="n">
        <v>13</v>
      </c>
      <c r="B17" s="31" t="inlineStr">
        <is>
          <t>أخصائي غير طبيب</t>
        </is>
      </c>
      <c r="C17" s="5" t="inlineStr">
        <is>
          <t>أخصائي استشاري غير طبيب اجتماعي</t>
        </is>
      </c>
      <c r="D17" s="32" t="n">
        <v>1</v>
      </c>
      <c r="E17" s="32" t="n">
        <v>1</v>
      </c>
      <c r="F17" s="32" t="n">
        <v>1</v>
      </c>
      <c r="G17" s="32" t="n">
        <v>2</v>
      </c>
      <c r="H17" s="32" t="n">
        <v>3</v>
      </c>
      <c r="I17" s="32" t="n">
        <v>4</v>
      </c>
      <c r="J17" s="33">
        <f>IF(RMODE="تقريب لأعلى",ROUNDUP(O17,0),ROUND(O17,0))</f>
        <v/>
      </c>
      <c r="K17" s="34" t="n"/>
      <c r="L17" s="35">
        <f>K17-J17</f>
        <v/>
      </c>
      <c r="M17" s="36">
        <f>IF(J17=0,"",K17/J17)</f>
        <v/>
      </c>
      <c r="N17" s="37">
        <f>IF(J17=0,"لا ينطبق",IF(K17&gt;=J17,"مكتمل",IF(K17=0,"لا يوجد","عجز")))</f>
        <v/>
      </c>
      <c r="O17" s="38">
        <f>IF(CAP&lt;=$D$4,D17*CAP/$D$4,IF(CAP&gt;=$I$4,I17*CAP/$I$4,INDEX($D17:$I17,$D$3)+$E$3*(INDEX($D17:$I17,$D$3+1)-INDEX($D17:$I17,$D$3))))</f>
        <v/>
      </c>
      <c r="P17" s="39" t="inlineStr"/>
    </row>
    <row r="18">
      <c r="A18" s="30" t="n">
        <v>14</v>
      </c>
      <c r="B18" s="31" t="inlineStr">
        <is>
          <t>أخصائي غير طبيب</t>
        </is>
      </c>
      <c r="C18" s="5" t="inlineStr">
        <is>
          <t>أخصائي استشاري غير طبيب نفسي</t>
        </is>
      </c>
      <c r="D18" s="32" t="n">
        <v>1</v>
      </c>
      <c r="E18" s="32" t="n">
        <v>1</v>
      </c>
      <c r="F18" s="32" t="n">
        <v>2</v>
      </c>
      <c r="G18" s="32" t="n">
        <v>3</v>
      </c>
      <c r="H18" s="32" t="n">
        <v>4</v>
      </c>
      <c r="I18" s="32" t="n">
        <v>4</v>
      </c>
      <c r="J18" s="33">
        <f>IF(RMODE="تقريب لأعلى",ROUNDUP(O18,0),ROUND(O18,0))</f>
        <v/>
      </c>
      <c r="K18" s="34" t="n"/>
      <c r="L18" s="35">
        <f>K18-J18</f>
        <v/>
      </c>
      <c r="M18" s="36">
        <f>IF(J18=0,"",K18/J18)</f>
        <v/>
      </c>
      <c r="N18" s="37">
        <f>IF(J18=0,"لا ينطبق",IF(K18&gt;=J18,"مكتمل",IF(K18=0,"لا يوجد","عجز")))</f>
        <v/>
      </c>
      <c r="O18" s="38">
        <f>IF(CAP&lt;=$D$4,D18*CAP/$D$4,IF(CAP&gt;=$I$4,I18*CAP/$I$4,INDEX($D18:$I18,$D$3)+$E$3*(INDEX($D18:$I18,$D$3+1)-INDEX($D18:$I18,$D$3))))</f>
        <v/>
      </c>
      <c r="P18" s="39" t="inlineStr"/>
    </row>
    <row r="19">
      <c r="A19" s="30" t="n">
        <v>15</v>
      </c>
      <c r="B19" s="31" t="inlineStr">
        <is>
          <t>أخصائي غير طبيب</t>
        </is>
      </c>
      <c r="C19" s="5" t="inlineStr">
        <is>
          <t>أخصائي استشاري غير طبيب أخرى (إدارة مستشفيات / تغذية علاجية / أشعة / علاج وظيفي ...)</t>
        </is>
      </c>
      <c r="D19" s="32" t="n">
        <v>0</v>
      </c>
      <c r="E19" s="32" t="n">
        <v>0</v>
      </c>
      <c r="F19" s="32" t="n">
        <v>1</v>
      </c>
      <c r="G19" s="32" t="n">
        <v>1</v>
      </c>
      <c r="H19" s="32" t="n">
        <v>1</v>
      </c>
      <c r="I19" s="32" t="n">
        <v>2</v>
      </c>
      <c r="J19" s="33">
        <f>IF(RMODE="تقريب لأعلى",ROUNDUP(O19,0),ROUND(O19,0))</f>
        <v/>
      </c>
      <c r="K19" s="34" t="n"/>
      <c r="L19" s="35">
        <f>K19-J19</f>
        <v/>
      </c>
      <c r="M19" s="36">
        <f>IF(J19=0,"",K19/J19)</f>
        <v/>
      </c>
      <c r="N19" s="37">
        <f>IF(J19=0,"لا ينطبق",IF(K19&gt;=J19,"مكتمل",IF(K19=0,"لا يوجد","عجز")))</f>
        <v/>
      </c>
      <c r="O19" s="38">
        <f>IF(CAP&lt;=$D$4,D19*CAP/$D$4,IF(CAP&gt;=$I$4,I19*CAP/$I$4,INDEX($D19:$I19,$D$3)+$E$3*(INDEX($D19:$I19,$D$3+1)-INDEX($D19:$I19,$D$3))))</f>
        <v/>
      </c>
      <c r="P19" s="39" t="inlineStr"/>
    </row>
    <row r="20">
      <c r="A20" s="30" t="n">
        <v>16</v>
      </c>
      <c r="B20" s="31" t="inlineStr">
        <is>
          <t>أخصائي غير طبيب</t>
        </is>
      </c>
      <c r="C20" s="5" t="inlineStr">
        <is>
          <t>أخصائي أول غير طبيب نفسي</t>
        </is>
      </c>
      <c r="D20" s="32" t="n">
        <v>5</v>
      </c>
      <c r="E20" s="32" t="n">
        <v>5</v>
      </c>
      <c r="F20" s="32" t="n">
        <v>10</v>
      </c>
      <c r="G20" s="32" t="n">
        <v>15</v>
      </c>
      <c r="H20" s="32" t="n">
        <v>20</v>
      </c>
      <c r="I20" s="32" t="n">
        <v>22</v>
      </c>
      <c r="J20" s="33">
        <f>IF(RMODE="تقريب لأعلى",ROUNDUP(O20,0),ROUND(O20,0))</f>
        <v/>
      </c>
      <c r="K20" s="34" t="n"/>
      <c r="L20" s="35">
        <f>K20-J20</f>
        <v/>
      </c>
      <c r="M20" s="36">
        <f>IF(J20=0,"",K20/J20)</f>
        <v/>
      </c>
      <c r="N20" s="37">
        <f>IF(J20=0,"لا ينطبق",IF(K20&gt;=J20,"مكتمل",IF(K20=0,"لا يوجد","عجز")))</f>
        <v/>
      </c>
      <c r="O20" s="38">
        <f>IF(CAP&lt;=$D$4,D20*CAP/$D$4,IF(CAP&gt;=$I$4,I20*CAP/$I$4,INDEX($D20:$I20,$D$3)+$E$3*(INDEX($D20:$I20,$D$3+1)-INDEX($D20:$I20,$D$3))))</f>
        <v/>
      </c>
      <c r="P20" s="39" t="inlineStr"/>
    </row>
    <row r="21">
      <c r="A21" s="30" t="n">
        <v>17</v>
      </c>
      <c r="B21" s="31" t="inlineStr">
        <is>
          <t>أخصائي غير طبيب</t>
        </is>
      </c>
      <c r="C21" s="5" t="inlineStr">
        <is>
          <t>أخصائي أول غير طبيب اجتماعي</t>
        </is>
      </c>
      <c r="D21" s="32" t="n">
        <v>3</v>
      </c>
      <c r="E21" s="32" t="n">
        <v>3</v>
      </c>
      <c r="F21" s="32" t="n">
        <v>6</v>
      </c>
      <c r="G21" s="32" t="n">
        <v>8</v>
      </c>
      <c r="H21" s="32" t="n">
        <v>10</v>
      </c>
      <c r="I21" s="32" t="n">
        <v>11</v>
      </c>
      <c r="J21" s="33">
        <f>IF(RMODE="تقريب لأعلى",ROUNDUP(O21,0),ROUND(O21,0))</f>
        <v/>
      </c>
      <c r="K21" s="34" t="n"/>
      <c r="L21" s="35">
        <f>K21-J21</f>
        <v/>
      </c>
      <c r="M21" s="36">
        <f>IF(J21=0,"",K21/J21)</f>
        <v/>
      </c>
      <c r="N21" s="37">
        <f>IF(J21=0,"لا ينطبق",IF(K21&gt;=J21,"مكتمل",IF(K21=0,"لا يوجد","عجز")))</f>
        <v/>
      </c>
      <c r="O21" s="38">
        <f>IF(CAP&lt;=$D$4,D21*CAP/$D$4,IF(CAP&gt;=$I$4,I21*CAP/$I$4,INDEX($D21:$I21,$D$3)+$E$3*(INDEX($D21:$I21,$D$3+1)-INDEX($D21:$I21,$D$3))))</f>
        <v/>
      </c>
      <c r="P21" s="39" t="inlineStr"/>
    </row>
    <row r="22">
      <c r="A22" s="30" t="n">
        <v>18</v>
      </c>
      <c r="B22" s="31" t="inlineStr">
        <is>
          <t>أخصائي غير طبيب</t>
        </is>
      </c>
      <c r="C22" s="5" t="inlineStr">
        <is>
          <t>أخصائي أول غير طبيب أخرى (إدارة مستشفيات / تغذية علاجية / أشعة / علاج وظيفي ...)</t>
        </is>
      </c>
      <c r="D22" s="32" t="n">
        <v>2</v>
      </c>
      <c r="E22" s="32" t="n">
        <v>2</v>
      </c>
      <c r="F22" s="32" t="n">
        <v>4</v>
      </c>
      <c r="G22" s="32" t="n">
        <v>7</v>
      </c>
      <c r="H22" s="32" t="n">
        <v>10</v>
      </c>
      <c r="I22" s="32" t="n">
        <v>17</v>
      </c>
      <c r="J22" s="33">
        <f>IF(RMODE="تقريب لأعلى",ROUNDUP(O22,0),ROUND(O22,0))</f>
        <v/>
      </c>
      <c r="K22" s="34" t="n"/>
      <c r="L22" s="35">
        <f>K22-J22</f>
        <v/>
      </c>
      <c r="M22" s="36">
        <f>IF(J22=0,"",K22/J22)</f>
        <v/>
      </c>
      <c r="N22" s="37">
        <f>IF(J22=0,"لا ينطبق",IF(K22&gt;=J22,"مكتمل",IF(K22=0,"لا يوجد","عجز")))</f>
        <v/>
      </c>
      <c r="O22" s="38">
        <f>IF(CAP&lt;=$D$4,D22*CAP/$D$4,IF(CAP&gt;=$I$4,I22*CAP/$I$4,INDEX($D22:$I22,$D$3)+$E$3*(INDEX($D22:$I22,$D$3+1)-INDEX($D22:$I22,$D$3))))</f>
        <v/>
      </c>
      <c r="P22" s="39" t="inlineStr"/>
    </row>
    <row r="23">
      <c r="A23" s="30" t="n">
        <v>19</v>
      </c>
      <c r="B23" s="31" t="inlineStr">
        <is>
          <t>أخصائي غير طبيب</t>
        </is>
      </c>
      <c r="C23" s="5" t="inlineStr">
        <is>
          <t>أخصائي غير طبيب نفسي / نفسي إكلينيكي</t>
        </is>
      </c>
      <c r="D23" s="32" t="n">
        <v>8</v>
      </c>
      <c r="E23" s="32" t="n">
        <v>15</v>
      </c>
      <c r="F23" s="32" t="n">
        <v>35</v>
      </c>
      <c r="G23" s="32" t="n">
        <v>55</v>
      </c>
      <c r="H23" s="32" t="n">
        <v>75</v>
      </c>
      <c r="I23" s="32" t="n">
        <v>90</v>
      </c>
      <c r="J23" s="33">
        <f>IF(RMODE="تقريب لأعلى",ROUNDUP(O23,0),ROUND(O23,0))</f>
        <v/>
      </c>
      <c r="K23" s="34" t="n"/>
      <c r="L23" s="35">
        <f>K23-J23</f>
        <v/>
      </c>
      <c r="M23" s="36">
        <f>IF(J23=0,"",K23/J23)</f>
        <v/>
      </c>
      <c r="N23" s="37">
        <f>IF(J23=0,"لا ينطبق",IF(K23&gt;=J23,"مكتمل",IF(K23=0,"لا يوجد","عجز")))</f>
        <v/>
      </c>
      <c r="O23" s="38">
        <f>IF(CAP&lt;=$D$4,D23*CAP/$D$4,IF(CAP&gt;=$I$4,I23*CAP/$I$4,INDEX($D23:$I23,$D$3)+$E$3*(INDEX($D23:$I23,$D$3+1)-INDEX($D23:$I23,$D$3))))</f>
        <v/>
      </c>
      <c r="P23" s="39" t="inlineStr"/>
    </row>
    <row r="24">
      <c r="A24" s="30" t="n">
        <v>20</v>
      </c>
      <c r="B24" s="31" t="inlineStr">
        <is>
          <t>أخصائي غير طبيب</t>
        </is>
      </c>
      <c r="C24" s="5" t="inlineStr">
        <is>
          <t>أخصائي غير طبيب اجتماعي</t>
        </is>
      </c>
      <c r="D24" s="32" t="n">
        <v>6</v>
      </c>
      <c r="E24" s="32" t="n">
        <v>10</v>
      </c>
      <c r="F24" s="32" t="n">
        <v>30</v>
      </c>
      <c r="G24" s="32" t="n">
        <v>45</v>
      </c>
      <c r="H24" s="32" t="n">
        <v>60</v>
      </c>
      <c r="I24" s="32" t="n">
        <v>75</v>
      </c>
      <c r="J24" s="33">
        <f>IF(RMODE="تقريب لأعلى",ROUNDUP(O24,0),ROUND(O24,0))</f>
        <v/>
      </c>
      <c r="K24" s="34" t="n"/>
      <c r="L24" s="35">
        <f>K24-J24</f>
        <v/>
      </c>
      <c r="M24" s="36">
        <f>IF(J24=0,"",K24/J24)</f>
        <v/>
      </c>
      <c r="N24" s="37">
        <f>IF(J24=0,"لا ينطبق",IF(K24&gt;=J24,"مكتمل",IF(K24=0,"لا يوجد","عجز")))</f>
        <v/>
      </c>
      <c r="O24" s="38">
        <f>IF(CAP&lt;=$D$4,D24*CAP/$D$4,IF(CAP&gt;=$I$4,I24*CAP/$I$4,INDEX($D24:$I24,$D$3)+$E$3*(INDEX($D24:$I24,$D$3+1)-INDEX($D24:$I24,$D$3))))</f>
        <v/>
      </c>
      <c r="P24" s="39" t="inlineStr"/>
    </row>
    <row r="25">
      <c r="A25" s="30" t="n">
        <v>21</v>
      </c>
      <c r="B25" s="31" t="inlineStr">
        <is>
          <t>أخصائي غير طبيب</t>
        </is>
      </c>
      <c r="C25" s="5" t="inlineStr">
        <is>
          <t>أخصائي غير طبيب أخرى (إدارة مستشفيات / تغذية علاجية / أشعة / علاج وظيفي ...)</t>
        </is>
      </c>
      <c r="D25" s="32" t="n">
        <v>11</v>
      </c>
      <c r="E25" s="32" t="n">
        <v>25</v>
      </c>
      <c r="F25" s="32" t="n">
        <v>35</v>
      </c>
      <c r="G25" s="32" t="n">
        <v>50</v>
      </c>
      <c r="H25" s="32" t="n">
        <v>65</v>
      </c>
      <c r="I25" s="32" t="n">
        <v>85</v>
      </c>
      <c r="J25" s="33">
        <f>IF(RMODE="تقريب لأعلى",ROUNDUP(O25,0),ROUND(O25,0))</f>
        <v/>
      </c>
      <c r="K25" s="34" t="n"/>
      <c r="L25" s="35">
        <f>K25-J25</f>
        <v/>
      </c>
      <c r="M25" s="36">
        <f>IF(J25=0,"",K25/J25)</f>
        <v/>
      </c>
      <c r="N25" s="37">
        <f>IF(J25=0,"لا ينطبق",IF(K25&gt;=J25,"مكتمل",IF(K25=0,"لا يوجد","عجز")))</f>
        <v/>
      </c>
      <c r="O25" s="38">
        <f>IF(CAP&lt;=$D$4,D25*CAP/$D$4,IF(CAP&gt;=$I$4,I25*CAP/$I$4,INDEX($D25:$I25,$D$3)+$E$3*(INDEX($D25:$I25,$D$3+1)-INDEX($D25:$I25,$D$3))))</f>
        <v/>
      </c>
      <c r="P25" s="39" t="inlineStr"/>
    </row>
    <row r="26">
      <c r="A26" s="30" t="n">
        <v>22</v>
      </c>
      <c r="B26" s="31" t="inlineStr">
        <is>
          <t>صيدلي</t>
        </is>
      </c>
      <c r="C26" s="5" t="inlineStr">
        <is>
          <t>صيدلي</t>
        </is>
      </c>
      <c r="D26" s="32" t="n">
        <v>12</v>
      </c>
      <c r="E26" s="32" t="n">
        <v>15</v>
      </c>
      <c r="F26" s="32" t="n">
        <v>20</v>
      </c>
      <c r="G26" s="32" t="n">
        <v>24</v>
      </c>
      <c r="H26" s="32" t="n">
        <v>32</v>
      </c>
      <c r="I26" s="32" t="n">
        <v>40</v>
      </c>
      <c r="J26" s="33">
        <f>IF(RMODE="تقريب لأعلى",ROUNDUP(O26,0),ROUND(O26,0))</f>
        <v/>
      </c>
      <c r="K26" s="34" t="n"/>
      <c r="L26" s="35">
        <f>K26-J26</f>
        <v/>
      </c>
      <c r="M26" s="36">
        <f>IF(J26=0,"",K26/J26)</f>
        <v/>
      </c>
      <c r="N26" s="37">
        <f>IF(J26=0,"لا ينطبق",IF(K26&gt;=J26,"مكتمل",IF(K26=0,"لا يوجد","عجز")))</f>
        <v/>
      </c>
      <c r="O26" s="38">
        <f>IF(CAP&lt;=$D$4,D26*CAP/$D$4,IF(CAP&gt;=$I$4,I26*CAP/$I$4,INDEX($D26:$I26,$D$3)+$E$3*(INDEX($D26:$I26,$D$3+1)-INDEX($D26:$I26,$D$3))))</f>
        <v/>
      </c>
      <c r="P26" s="39" t="inlineStr"/>
    </row>
    <row r="27">
      <c r="A27" s="30" t="n">
        <v>23</v>
      </c>
      <c r="B27" s="31" t="inlineStr">
        <is>
          <t>صيدلي</t>
        </is>
      </c>
      <c r="C27" s="5" t="inlineStr">
        <is>
          <t>صيدلي أول</t>
        </is>
      </c>
      <c r="D27" s="32" t="n">
        <v>2</v>
      </c>
      <c r="E27" s="32" t="n">
        <v>3</v>
      </c>
      <c r="F27" s="32" t="n">
        <v>4</v>
      </c>
      <c r="G27" s="32" t="n">
        <v>6</v>
      </c>
      <c r="H27" s="32" t="n">
        <v>8</v>
      </c>
      <c r="I27" s="32" t="n">
        <v>10</v>
      </c>
      <c r="J27" s="33">
        <f>IF(RMODE="تقريب لأعلى",ROUNDUP(O27,0),ROUND(O27,0))</f>
        <v/>
      </c>
      <c r="K27" s="34" t="n"/>
      <c r="L27" s="35">
        <f>K27-J27</f>
        <v/>
      </c>
      <c r="M27" s="36">
        <f>IF(J27=0,"",K27/J27)</f>
        <v/>
      </c>
      <c r="N27" s="37">
        <f>IF(J27=0,"لا ينطبق",IF(K27&gt;=J27,"مكتمل",IF(K27=0,"لا يوجد","عجز")))</f>
        <v/>
      </c>
      <c r="O27" s="38">
        <f>IF(CAP&lt;=$D$4,D27*CAP/$D$4,IF(CAP&gt;=$I$4,I27*CAP/$I$4,INDEX($D27:$I27,$D$3)+$E$3*(INDEX($D27:$I27,$D$3+1)-INDEX($D27:$I27,$D$3))))</f>
        <v/>
      </c>
      <c r="P27" s="39" t="inlineStr"/>
    </row>
    <row r="28">
      <c r="A28" s="30" t="n">
        <v>24</v>
      </c>
      <c r="B28" s="31" t="inlineStr">
        <is>
          <t>صيدلي</t>
        </is>
      </c>
      <c r="C28" s="5" t="inlineStr">
        <is>
          <t>صيدلي استشاري</t>
        </is>
      </c>
      <c r="D28" s="32" t="n">
        <v>1</v>
      </c>
      <c r="E28" s="32" t="n">
        <v>1</v>
      </c>
      <c r="F28" s="32" t="n">
        <v>2</v>
      </c>
      <c r="G28" s="32" t="n">
        <v>3</v>
      </c>
      <c r="H28" s="32" t="n">
        <v>4</v>
      </c>
      <c r="I28" s="32" t="n">
        <v>5</v>
      </c>
      <c r="J28" s="33">
        <f>IF(RMODE="تقريب لأعلى",ROUNDUP(O28,0),ROUND(O28,0))</f>
        <v/>
      </c>
      <c r="K28" s="34" t="n"/>
      <c r="L28" s="35">
        <f>K28-J28</f>
        <v/>
      </c>
      <c r="M28" s="36">
        <f>IF(J28=0,"",K28/J28)</f>
        <v/>
      </c>
      <c r="N28" s="37">
        <f>IF(J28=0,"لا ينطبق",IF(K28&gt;=J28,"مكتمل",IF(K28=0,"لا يوجد","عجز")))</f>
        <v/>
      </c>
      <c r="O28" s="38">
        <f>IF(CAP&lt;=$D$4,D28*CAP/$D$4,IF(CAP&gt;=$I$4,I28*CAP/$I$4,INDEX($D28:$I28,$D$3)+$E$3*(INDEX($D28:$I28,$D$3+1)-INDEX($D28:$I28,$D$3))))</f>
        <v/>
      </c>
      <c r="P28" s="39" t="inlineStr"/>
    </row>
    <row r="29">
      <c r="A29" s="30" t="n">
        <v>25</v>
      </c>
      <c r="B29" s="31" t="inlineStr">
        <is>
          <t>تمريض</t>
        </is>
      </c>
      <c r="C29" s="5" t="inlineStr">
        <is>
          <t>أخصائي استشاري تمريض</t>
        </is>
      </c>
      <c r="D29" s="32" t="n">
        <v>2</v>
      </c>
      <c r="E29" s="32" t="n">
        <v>2</v>
      </c>
      <c r="F29" s="32" t="n">
        <v>2</v>
      </c>
      <c r="G29" s="32" t="n">
        <v>2</v>
      </c>
      <c r="H29" s="32" t="n">
        <v>3</v>
      </c>
      <c r="I29" s="32" t="n">
        <v>4</v>
      </c>
      <c r="J29" s="33">
        <f>IF(RMODE="تقريب لأعلى",ROUNDUP(O29,0),ROUND(O29,0))</f>
        <v/>
      </c>
      <c r="K29" s="34" t="n"/>
      <c r="L29" s="35">
        <f>K29-J29</f>
        <v/>
      </c>
      <c r="M29" s="36">
        <f>IF(J29=0,"",K29/J29)</f>
        <v/>
      </c>
      <c r="N29" s="37">
        <f>IF(J29=0,"لا ينطبق",IF(K29&gt;=J29,"مكتمل",IF(K29=0,"لا يوجد","عجز")))</f>
        <v/>
      </c>
      <c r="O29" s="38">
        <f>IF(CAP&lt;=$D$4,D29*CAP/$D$4,IF(CAP&gt;=$I$4,I29*CAP/$I$4,INDEX($D29:$I29,$D$3)+$E$3*(INDEX($D29:$I29,$D$3+1)-INDEX($D29:$I29,$D$3))))</f>
        <v/>
      </c>
      <c r="P29" s="39" t="inlineStr"/>
    </row>
    <row r="30">
      <c r="A30" s="30" t="n">
        <v>26</v>
      </c>
      <c r="B30" s="31" t="inlineStr">
        <is>
          <t>تمريض</t>
        </is>
      </c>
      <c r="C30" s="5" t="inlineStr">
        <is>
          <t>أخصائي أول تمريض</t>
        </is>
      </c>
      <c r="D30" s="32" t="n">
        <v>5</v>
      </c>
      <c r="E30" s="32" t="n">
        <v>7</v>
      </c>
      <c r="F30" s="32" t="n">
        <v>10</v>
      </c>
      <c r="G30" s="32" t="n">
        <v>20</v>
      </c>
      <c r="H30" s="32" t="n">
        <v>25</v>
      </c>
      <c r="I30" s="32" t="n">
        <v>30</v>
      </c>
      <c r="J30" s="33">
        <f>IF(RMODE="تقريب لأعلى",ROUNDUP(O30,0),ROUND(O30,0))</f>
        <v/>
      </c>
      <c r="K30" s="34" t="n"/>
      <c r="L30" s="35">
        <f>K30-J30</f>
        <v/>
      </c>
      <c r="M30" s="36">
        <f>IF(J30=0,"",K30/J30)</f>
        <v/>
      </c>
      <c r="N30" s="37">
        <f>IF(J30=0,"لا ينطبق",IF(K30&gt;=J30,"مكتمل",IF(K30=0,"لا يوجد","عجز")))</f>
        <v/>
      </c>
      <c r="O30" s="38">
        <f>IF(CAP&lt;=$D$4,D30*CAP/$D$4,IF(CAP&gt;=$I$4,I30*CAP/$I$4,INDEX($D30:$I30,$D$3)+$E$3*(INDEX($D30:$I30,$D$3+1)-INDEX($D30:$I30,$D$3))))</f>
        <v/>
      </c>
      <c r="P30" s="39" t="inlineStr"/>
    </row>
    <row r="31">
      <c r="A31" s="30" t="n">
        <v>27</v>
      </c>
      <c r="B31" s="31" t="inlineStr">
        <is>
          <t>تمريض</t>
        </is>
      </c>
      <c r="C31" s="5" t="inlineStr">
        <is>
          <t>أخصائي تمريض</t>
        </is>
      </c>
      <c r="D31" s="32" t="n">
        <v>95</v>
      </c>
      <c r="E31" s="32" t="n">
        <v>180</v>
      </c>
      <c r="F31" s="32" t="n">
        <v>390</v>
      </c>
      <c r="G31" s="32" t="n">
        <v>580</v>
      </c>
      <c r="H31" s="32" t="n">
        <v>725</v>
      </c>
      <c r="I31" s="32" t="n">
        <v>970</v>
      </c>
      <c r="J31" s="33">
        <f>IF(RMODE="تقريب لأعلى",ROUNDUP(O31,0),ROUND(O31,0))</f>
        <v/>
      </c>
      <c r="K31" s="34" t="n"/>
      <c r="L31" s="35">
        <f>K31-J31</f>
        <v/>
      </c>
      <c r="M31" s="36">
        <f>IF(J31=0,"",K31/J31)</f>
        <v/>
      </c>
      <c r="N31" s="37">
        <f>IF(J31=0,"لا ينطبق",IF(K31&gt;=J31,"مكتمل",IF(K31=0,"لا يوجد","عجز")))</f>
        <v/>
      </c>
      <c r="O31" s="38">
        <f>IF(CAP&lt;=$D$4,D31*CAP/$D$4,IF(CAP&gt;=$I$4,I31*CAP/$I$4,INDEX($D31:$I31,$D$3)+$E$3*(INDEX($D31:$I31,$D$3+1)-INDEX($D31:$I31,$D$3))))</f>
        <v/>
      </c>
      <c r="P31" s="39" t="inlineStr"/>
    </row>
    <row r="32">
      <c r="A32" s="30" t="n">
        <v>28</v>
      </c>
      <c r="B32" s="31" t="inlineStr">
        <is>
          <t>فني</t>
        </is>
      </c>
      <c r="C32" s="5" t="inlineStr">
        <is>
          <t>فني صحي (تمريض / سكرتير طبي / علاج وظيفي / مختبر / أشعة / طب طوارئ ...)</t>
        </is>
      </c>
      <c r="D32" s="32" t="n">
        <v>35</v>
      </c>
      <c r="E32" s="32" t="n">
        <v>60</v>
      </c>
      <c r="F32" s="32" t="n">
        <v>100</v>
      </c>
      <c r="G32" s="32" t="n">
        <v>150</v>
      </c>
      <c r="H32" s="32" t="n">
        <v>200</v>
      </c>
      <c r="I32" s="32" t="n">
        <v>250</v>
      </c>
      <c r="J32" s="33">
        <f>IF(RMODE="تقريب لأعلى",ROUNDUP(O32,0),ROUND(O32,0))</f>
        <v/>
      </c>
      <c r="K32" s="34" t="n"/>
      <c r="L32" s="35">
        <f>K32-J32</f>
        <v/>
      </c>
      <c r="M32" s="36">
        <f>IF(J32=0,"",K32/J32)</f>
        <v/>
      </c>
      <c r="N32" s="37">
        <f>IF(J32=0,"لا ينطبق",IF(K32&gt;=J32,"مكتمل",IF(K32=0,"لا يوجد","عجز")))</f>
        <v/>
      </c>
      <c r="O32" s="38">
        <f>IF(CAP&lt;=$D$4,D32*CAP/$D$4,IF(CAP&gt;=$I$4,I32*CAP/$I$4,INDEX($D32:$I32,$D$3)+$E$3*(INDEX($D32:$I32,$D$3+1)-INDEX($D32:$I32,$D$3))))</f>
        <v/>
      </c>
      <c r="P32" s="39" t="inlineStr"/>
    </row>
    <row r="33">
      <c r="A33" s="30" t="n">
        <v>29</v>
      </c>
      <c r="B33" s="31" t="inlineStr">
        <is>
          <t>مساعد صحي</t>
        </is>
      </c>
      <c r="C33" s="5" t="inlineStr">
        <is>
          <t>مساعد صحي (تمريض / أسنان / أشعة / أمن صحي ...)</t>
        </is>
      </c>
      <c r="D33" s="32" t="n">
        <v>35</v>
      </c>
      <c r="E33" s="32" t="n">
        <v>60</v>
      </c>
      <c r="F33" s="32" t="n">
        <v>100</v>
      </c>
      <c r="G33" s="32" t="n">
        <v>150</v>
      </c>
      <c r="H33" s="32" t="n">
        <v>200</v>
      </c>
      <c r="I33" s="32" t="n">
        <v>250</v>
      </c>
      <c r="J33" s="33">
        <f>IF(RMODE="تقريب لأعلى",ROUNDUP(O33,0),ROUND(O33,0))</f>
        <v/>
      </c>
      <c r="K33" s="34" t="n"/>
      <c r="L33" s="35">
        <f>K33-J33</f>
        <v/>
      </c>
      <c r="M33" s="36">
        <f>IF(J33=0,"",K33/J33)</f>
        <v/>
      </c>
      <c r="N33" s="37">
        <f>IF(J33=0,"لا ينطبق",IF(K33&gt;=J33,"مكتمل",IF(K33=0,"لا يوجد","عجز")))</f>
        <v/>
      </c>
      <c r="O33" s="38">
        <f>IF(CAP&lt;=$D$4,D33*CAP/$D$4,IF(CAP&gt;=$I$4,I33*CAP/$I$4,INDEX($D33:$I33,$D$3)+$E$3*(INDEX($D33:$I33,$D$3+1)-INDEX($D33:$I33,$D$3))))</f>
        <v/>
      </c>
      <c r="P33" s="39" t="inlineStr"/>
    </row>
    <row r="34">
      <c r="A34" s="30" t="n">
        <v>30</v>
      </c>
      <c r="B34" s="31" t="inlineStr">
        <is>
          <t>إداري</t>
        </is>
      </c>
      <c r="C34" s="5" t="inlineStr">
        <is>
          <t>أخصائي إداري</t>
        </is>
      </c>
      <c r="D34" s="32" t="n">
        <v>25</v>
      </c>
      <c r="E34" s="32" t="n">
        <v>30</v>
      </c>
      <c r="F34" s="32" t="n">
        <v>40</v>
      </c>
      <c r="G34" s="32" t="n">
        <v>60</v>
      </c>
      <c r="H34" s="32" t="n">
        <v>80</v>
      </c>
      <c r="I34" s="32" t="n">
        <v>100</v>
      </c>
      <c r="J34" s="33">
        <f>IF(RMODE="تقريب لأعلى",ROUNDUP(O34,0),ROUND(O34,0))</f>
        <v/>
      </c>
      <c r="K34" s="34" t="n"/>
      <c r="L34" s="35">
        <f>K34-J34</f>
        <v/>
      </c>
      <c r="M34" s="36">
        <f>IF(J34=0,"",K34/J34)</f>
        <v/>
      </c>
      <c r="N34" s="37">
        <f>IF(J34=0,"لا ينطبق",IF(K34&gt;=J34,"مكتمل",IF(K34=0,"لا يوجد","عجز")))</f>
        <v/>
      </c>
      <c r="O34" s="38">
        <f>IF(CAP&lt;=$D$4,D34*CAP/$D$4,IF(CAP&gt;=$I$4,I34*CAP/$I$4,INDEX($D34:$I34,$D$3)+$E$3*(INDEX($D34:$I34,$D$3+1)-INDEX($D34:$I34,$D$3))))</f>
        <v/>
      </c>
      <c r="P34" s="39" t="inlineStr"/>
    </row>
    <row r="35">
      <c r="A35" s="30" t="n">
        <v>31</v>
      </c>
      <c r="B35" s="31" t="inlineStr">
        <is>
          <t>إداري</t>
        </is>
      </c>
      <c r="C35" s="5" t="inlineStr">
        <is>
          <t>أخصائي تقني</t>
        </is>
      </c>
      <c r="D35" s="32" t="n">
        <v>3</v>
      </c>
      <c r="E35" s="32" t="n">
        <v>5</v>
      </c>
      <c r="F35" s="32" t="n">
        <v>10</v>
      </c>
      <c r="G35" s="32" t="n">
        <v>15</v>
      </c>
      <c r="H35" s="32" t="n">
        <v>20</v>
      </c>
      <c r="I35" s="32" t="n">
        <v>25</v>
      </c>
      <c r="J35" s="33">
        <f>IF(RMODE="تقريب لأعلى",ROUNDUP(O35,0),ROUND(O35,0))</f>
        <v/>
      </c>
      <c r="K35" s="34" t="n"/>
      <c r="L35" s="35">
        <f>K35-J35</f>
        <v/>
      </c>
      <c r="M35" s="36">
        <f>IF(J35=0,"",K35/J35)</f>
        <v/>
      </c>
      <c r="N35" s="37">
        <f>IF(J35=0,"لا ينطبق",IF(K35&gt;=J35,"مكتمل",IF(K35=0,"لا يوجد","عجز")))</f>
        <v/>
      </c>
      <c r="O35" s="38">
        <f>IF(CAP&lt;=$D$4,D35*CAP/$D$4,IF(CAP&gt;=$I$4,I35*CAP/$I$4,INDEX($D35:$I35,$D$3)+$E$3*(INDEX($D35:$I35,$D$3+1)-INDEX($D35:$I35,$D$3))))</f>
        <v/>
      </c>
      <c r="P35" s="39" t="inlineStr"/>
    </row>
    <row r="36">
      <c r="A36" s="30" t="n">
        <v>32</v>
      </c>
      <c r="B36" s="31" t="inlineStr">
        <is>
          <t>إداري</t>
        </is>
      </c>
      <c r="C36" s="5" t="inlineStr">
        <is>
          <t>أخصائي قيادي</t>
        </is>
      </c>
      <c r="D36" s="32" t="n">
        <v>3</v>
      </c>
      <c r="E36" s="32" t="n">
        <v>4</v>
      </c>
      <c r="F36" s="32" t="n">
        <v>4</v>
      </c>
      <c r="G36" s="32" t="n">
        <v>6</v>
      </c>
      <c r="H36" s="32" t="n">
        <v>8</v>
      </c>
      <c r="I36" s="32" t="n">
        <v>12</v>
      </c>
      <c r="J36" s="33">
        <f>IF(RMODE="تقريب لأعلى",ROUNDUP(O36,0),ROUND(O36,0))</f>
        <v/>
      </c>
      <c r="K36" s="34" t="n"/>
      <c r="L36" s="35">
        <f>K36-J36</f>
        <v/>
      </c>
      <c r="M36" s="36">
        <f>IF(J36=0,"",K36/J36)</f>
        <v/>
      </c>
      <c r="N36" s="37">
        <f>IF(J36=0,"لا ينطبق",IF(K36&gt;=J36,"مكتمل",IF(K36=0,"لا يوجد","عجز")))</f>
        <v/>
      </c>
      <c r="O36" s="38">
        <f>IF(CAP&lt;=$D$4,D36*CAP/$D$4,IF(CAP&gt;=$I$4,I36*CAP/$I$4,INDEX($D36:$I36,$D$3)+$E$3*(INDEX($D36:$I36,$D$3+1)-INDEX($D36:$I36,$D$3))))</f>
        <v/>
      </c>
      <c r="P36" s="39" t="inlineStr"/>
    </row>
    <row r="37">
      <c r="A37" s="30" t="n">
        <v>33</v>
      </c>
      <c r="B37" s="31" t="inlineStr">
        <is>
          <t>إداري</t>
        </is>
      </c>
      <c r="C37" s="5" t="inlineStr">
        <is>
          <t>إداري</t>
        </is>
      </c>
      <c r="D37" s="32" t="n">
        <v>35</v>
      </c>
      <c r="E37" s="32" t="n">
        <v>75</v>
      </c>
      <c r="F37" s="32" t="n">
        <v>100</v>
      </c>
      <c r="G37" s="32" t="n">
        <v>135</v>
      </c>
      <c r="H37" s="32" t="n">
        <v>175</v>
      </c>
      <c r="I37" s="32" t="n">
        <v>210</v>
      </c>
      <c r="J37" s="33">
        <f>IF(RMODE="تقريب لأعلى",ROUNDUP(O37,0),ROUND(O37,0))</f>
        <v/>
      </c>
      <c r="K37" s="34" t="n"/>
      <c r="L37" s="35">
        <f>K37-J37</f>
        <v/>
      </c>
      <c r="M37" s="36">
        <f>IF(J37=0,"",K37/J37)</f>
        <v/>
      </c>
      <c r="N37" s="37">
        <f>IF(J37=0,"لا ينطبق",IF(K37&gt;=J37,"مكتمل",IF(K37=0,"لا يوجد","عجز")))</f>
        <v/>
      </c>
      <c r="O37" s="38">
        <f>IF(CAP&lt;=$D$4,D37*CAP/$D$4,IF(CAP&gt;=$I$4,I37*CAP/$I$4,INDEX($D37:$I37,$D$3)+$E$3*(INDEX($D37:$I37,$D$3+1)-INDEX($D37:$I37,$D$3))))</f>
        <v/>
      </c>
      <c r="P37" s="39" t="inlineStr"/>
    </row>
    <row r="38">
      <c r="A38" s="30" t="n">
        <v>34</v>
      </c>
      <c r="B38" s="31" t="inlineStr">
        <is>
          <t>إداري</t>
        </is>
      </c>
      <c r="C38" s="5" t="inlineStr">
        <is>
          <t>إداري أمن وسلامة</t>
        </is>
      </c>
      <c r="D38" s="32" t="n">
        <v>4</v>
      </c>
      <c r="E38" s="32" t="n">
        <v>6</v>
      </c>
      <c r="F38" s="32" t="n">
        <v>8</v>
      </c>
      <c r="G38" s="32" t="n">
        <v>10</v>
      </c>
      <c r="H38" s="32" t="n">
        <v>12</v>
      </c>
      <c r="I38" s="32" t="n">
        <v>15</v>
      </c>
      <c r="J38" s="33">
        <f>IF(RMODE="تقريب لأعلى",ROUNDUP(O38,0),ROUND(O38,0))</f>
        <v/>
      </c>
      <c r="K38" s="34" t="n"/>
      <c r="L38" s="35">
        <f>K38-J38</f>
        <v/>
      </c>
      <c r="M38" s="36">
        <f>IF(J38=0,"",K38/J38)</f>
        <v/>
      </c>
      <c r="N38" s="37">
        <f>IF(J38=0,"لا ينطبق",IF(K38&gt;=J38,"مكتمل",IF(K38=0,"لا يوجد","عجز")))</f>
        <v/>
      </c>
      <c r="O38" s="38">
        <f>IF(CAP&lt;=$D$4,D38*CAP/$D$4,IF(CAP&gt;=$I$4,I38*CAP/$I$4,INDEX($D38:$I38,$D$3)+$E$3*(INDEX($D38:$I38,$D$3+1)-INDEX($D38:$I38,$D$3))))</f>
        <v/>
      </c>
      <c r="P38" s="39" t="inlineStr"/>
    </row>
    <row r="39">
      <c r="A39" s="30" t="n">
        <v>35</v>
      </c>
      <c r="B39" s="31" t="inlineStr">
        <is>
          <t>إداري</t>
        </is>
      </c>
      <c r="C39" s="5" t="inlineStr">
        <is>
          <t>تقني</t>
        </is>
      </c>
      <c r="D39" s="32" t="n">
        <v>15</v>
      </c>
      <c r="E39" s="32" t="n">
        <v>20</v>
      </c>
      <c r="F39" s="32" t="n">
        <v>25</v>
      </c>
      <c r="G39" s="32" t="n">
        <v>30</v>
      </c>
      <c r="H39" s="32" t="n">
        <v>40</v>
      </c>
      <c r="I39" s="32" t="n">
        <v>40</v>
      </c>
      <c r="J39" s="33">
        <f>IF(RMODE="تقريب لأعلى",ROUNDUP(O39,0),ROUND(O39,0))</f>
        <v/>
      </c>
      <c r="K39" s="34" t="n"/>
      <c r="L39" s="35">
        <f>K39-J39</f>
        <v/>
      </c>
      <c r="M39" s="36">
        <f>IF(J39=0,"",K39/J39)</f>
        <v/>
      </c>
      <c r="N39" s="37">
        <f>IF(J39=0,"لا ينطبق",IF(K39&gt;=J39,"مكتمل",IF(K39=0,"لا يوجد","عجز")))</f>
        <v/>
      </c>
      <c r="O39" s="38">
        <f>IF(CAP&lt;=$D$4,D39*CAP/$D$4,IF(CAP&gt;=$I$4,I39*CAP/$I$4,INDEX($D39:$I39,$D$3)+$E$3*(INDEX($D39:$I39,$D$3+1)-INDEX($D39:$I39,$D$3))))</f>
        <v/>
      </c>
      <c r="P39" s="39" t="inlineStr"/>
    </row>
    <row r="40">
      <c r="A40" s="30" t="n">
        <v>36</v>
      </c>
      <c r="B40" s="31" t="inlineStr">
        <is>
          <t>إداري</t>
        </is>
      </c>
      <c r="C40" s="5" t="inlineStr">
        <is>
          <t>خدمات عامة</t>
        </is>
      </c>
      <c r="D40" s="32" t="n">
        <v>20</v>
      </c>
      <c r="E40" s="32" t="n">
        <v>25</v>
      </c>
      <c r="F40" s="32" t="n">
        <v>28</v>
      </c>
      <c r="G40" s="32" t="n">
        <v>30</v>
      </c>
      <c r="H40" s="32" t="n">
        <v>35</v>
      </c>
      <c r="I40" s="32" t="n">
        <v>40</v>
      </c>
      <c r="J40" s="33">
        <f>IF(RMODE="تقريب لأعلى",ROUNDUP(O40,0),ROUND(O40,0))</f>
        <v/>
      </c>
      <c r="K40" s="34" t="n"/>
      <c r="L40" s="35">
        <f>K40-J40</f>
        <v/>
      </c>
      <c r="M40" s="36">
        <f>IF(J40=0,"",K40/J40)</f>
        <v/>
      </c>
      <c r="N40" s="37">
        <f>IF(J40=0,"لا ينطبق",IF(K40&gt;=J40,"مكتمل",IF(K40=0,"لا يوجد","عجز")))</f>
        <v/>
      </c>
      <c r="O40" s="38">
        <f>IF(CAP&lt;=$D$4,D40*CAP/$D$4,IF(CAP&gt;=$I$4,I40*CAP/$I$4,INDEX($D40:$I40,$D$3)+$E$3*(INDEX($D40:$I40,$D$3+1)-INDEX($D40:$I40,$D$3))))</f>
        <v/>
      </c>
      <c r="P40" s="39" t="inlineStr"/>
    </row>
    <row r="41">
      <c r="A41" s="30" t="n">
        <v>37</v>
      </c>
      <c r="B41" s="31" t="inlineStr">
        <is>
          <t>إداري</t>
        </is>
      </c>
      <c r="C41" s="5" t="inlineStr">
        <is>
          <t>حارس أمن وسلامة</t>
        </is>
      </c>
      <c r="D41" s="32" t="n">
        <v>30</v>
      </c>
      <c r="E41" s="32" t="n">
        <v>35</v>
      </c>
      <c r="F41" s="32" t="n">
        <v>45</v>
      </c>
      <c r="G41" s="32" t="n">
        <v>55</v>
      </c>
      <c r="H41" s="32" t="n">
        <v>65</v>
      </c>
      <c r="I41" s="32" t="n">
        <v>80</v>
      </c>
      <c r="J41" s="33">
        <f>IF(RMODE="تقريب لأعلى",ROUNDUP(O41,0),ROUND(O41,0))</f>
        <v/>
      </c>
      <c r="K41" s="34" t="n"/>
      <c r="L41" s="35">
        <f>K41-J41</f>
        <v/>
      </c>
      <c r="M41" s="36">
        <f>IF(J41=0,"",K41/J41)</f>
        <v/>
      </c>
      <c r="N41" s="37">
        <f>IF(J41=0,"لا ينطبق",IF(K41&gt;=J41,"مكتمل",IF(K41=0,"لا يوجد","عجز")))</f>
        <v/>
      </c>
      <c r="O41" s="38">
        <f>IF(CAP&lt;=$D$4,D41*CAP/$D$4,IF(CAP&gt;=$I$4,I41*CAP/$I$4,INDEX($D41:$I41,$D$3)+$E$3*(INDEX($D41:$I41,$D$3+1)-INDEX($D41:$I41,$D$3))))</f>
        <v/>
      </c>
      <c r="P41" s="39" t="inlineStr"/>
    </row>
    <row r="42">
      <c r="A42" s="40" t="n"/>
      <c r="B42" s="40" t="n"/>
      <c r="C42" s="40" t="inlineStr">
        <is>
          <t>المجموع (محسوب من الجدول)</t>
        </is>
      </c>
      <c r="D42" s="41">
        <f>SUM(D5:D41)</f>
        <v/>
      </c>
      <c r="E42" s="41">
        <f>SUM(E5:E41)</f>
        <v/>
      </c>
      <c r="F42" s="41">
        <f>SUM(F5:F41)</f>
        <v/>
      </c>
      <c r="G42" s="41">
        <f>SUM(G5:G41)</f>
        <v/>
      </c>
      <c r="H42" s="41">
        <f>SUM(H5:H41)</f>
        <v/>
      </c>
      <c r="I42" s="41">
        <f>SUM(I5:I41)</f>
        <v/>
      </c>
      <c r="J42" s="41">
        <f>SUM(J5:J41)</f>
        <v/>
      </c>
      <c r="K42" s="42">
        <f>SUM(K5:K41)</f>
        <v/>
      </c>
      <c r="L42" s="41">
        <f>SUM(L5:L41)</f>
        <v/>
      </c>
      <c r="M42" s="43">
        <f>IF(J42=0,"",K42/J42)</f>
        <v/>
      </c>
      <c r="N42" s="42" t="n"/>
      <c r="O42" s="42">
        <f>SUM(O5:O41)</f>
        <v/>
      </c>
      <c r="P42" s="42" t="n"/>
    </row>
    <row r="43">
      <c r="A43" s="44" t="n"/>
      <c r="B43" s="44" t="n"/>
      <c r="C43" s="44" t="inlineStr">
        <is>
          <t>المجموع المنشور في الدليل</t>
        </is>
      </c>
      <c r="D43" s="44" t="n">
        <v>394</v>
      </c>
      <c r="E43" s="44" t="n">
        <v>638</v>
      </c>
      <c r="F43" s="44" t="n">
        <v>1086</v>
      </c>
      <c r="G43" s="44" t="n">
        <v>1567</v>
      </c>
      <c r="H43" s="44" t="n">
        <v>2020</v>
      </c>
      <c r="I43" s="44" t="n">
        <v>2573</v>
      </c>
    </row>
    <row r="44">
      <c r="A44" s="44" t="n"/>
      <c r="B44" s="44" t="n"/>
      <c r="C44" s="44" t="inlineStr">
        <is>
          <t>الفرق (محسوب − منشور)</t>
        </is>
      </c>
      <c r="D44" s="44">
        <f>D42-D43</f>
        <v/>
      </c>
      <c r="E44" s="44">
        <f>E42-E43</f>
        <v/>
      </c>
      <c r="F44" s="44">
        <f>F42-F43</f>
        <v/>
      </c>
      <c r="G44" s="44">
        <f>G42-G43</f>
        <v/>
      </c>
      <c r="H44" s="44">
        <f>H42-H43</f>
        <v/>
      </c>
      <c r="I44" s="44">
        <f>I42-I43</f>
        <v/>
      </c>
    </row>
  </sheetData>
  <mergeCells count="2">
    <mergeCell ref="A1:P1"/>
    <mergeCell ref="A2:P2"/>
  </mergeCells>
  <conditionalFormatting sqref="N5:N41">
    <cfRule type="expression" priority="1" dxfId="0">
      <formula>OR(N5="عجز",N5="لا يوجد")</formula>
    </cfRule>
    <cfRule type="expression" priority="2" dxfId="1">
      <formula>N5="مكتمل"</formula>
    </cfRule>
  </conditionalFormatting>
  <pageMargins left="0.75" right="0.75" top="1" bottom="1" header="0.5" footer="0.5"/>
</worksheet>
</file>

<file path=xl/worksheets/sheet15.xml><?xml version="1.0" encoding="utf-8"?>
<worksheet xmlns="http://schemas.openxmlformats.org/spreadsheetml/2006/main">
  <sheetPr>
    <tabColor rgb="001F6F6B"/>
    <outlinePr summaryBelow="1" summaryRight="1"/>
    <pageSetUpPr/>
  </sheetPr>
  <dimension ref="A1:N80"/>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13" customWidth="1" min="8" max="8"/>
    <col width="12" customWidth="1" min="9" max="9"/>
    <col width="13" customWidth="1" min="10" max="10"/>
    <col width="10" customWidth="1" min="11" max="11"/>
    <col width="11" customWidth="1" min="12" max="12"/>
    <col width="11" customWidth="1" min="13" max="13"/>
    <col width="42" customWidth="1" min="14" max="14"/>
  </cols>
  <sheetData>
    <row r="1" ht="30" customHeight="1">
      <c r="A1" s="1" t="inlineStr">
        <is>
          <t>الرعاية المديدة - الفنية</t>
        </is>
      </c>
    </row>
    <row r="2" ht="20" customHeight="1">
      <c r="A2" s="2" t="inlineStr">
        <is>
          <t>الملحق (4) — مستشفيات الرعاية المديدة: الأقسام الفنية (صفحات 61-63)</t>
        </is>
      </c>
    </row>
    <row r="3">
      <c r="C3" s="25" t="inlineStr">
        <is>
          <t>معاملا الاستيفاء ◄</t>
        </is>
      </c>
      <c r="D3" s="26">
        <f>IFERROR(MATCH(CAP,$D$4:$G$4,1),1)</f>
        <v/>
      </c>
      <c r="E3" s="27">
        <f>IF(OR(CAP&lt;=$D$4,CAP&gt;=$G$4),0,(CAP-INDEX($D$4:$G$4,$D$3))/(INDEX($D$4:$G$4,$D$3+1)-INDEX($D$4:$G$4,$D$3)))</f>
        <v/>
      </c>
    </row>
    <row r="4" ht="42" customHeight="1">
      <c r="A4" s="28" t="inlineStr">
        <is>
          <t>م</t>
        </is>
      </c>
      <c r="B4" s="28" t="inlineStr">
        <is>
          <t>الفئة</t>
        </is>
      </c>
      <c r="C4" s="28" t="inlineStr">
        <is>
          <t>المسمى الوظيفي</t>
        </is>
      </c>
      <c r="D4" s="29" t="n">
        <v>50</v>
      </c>
      <c r="E4" s="29" t="n">
        <v>100</v>
      </c>
      <c r="F4" s="29" t="n">
        <v>200</v>
      </c>
      <c r="G4" s="29" t="n">
        <v>300</v>
      </c>
      <c r="H4" s="28" t="inlineStr">
        <is>
          <t>الاحتياج للسعة المدخلة</t>
        </is>
      </c>
      <c r="I4" s="28" t="inlineStr">
        <is>
          <t>الموجود فعلياً</t>
        </is>
      </c>
      <c r="J4" s="28" t="inlineStr">
        <is>
          <t>الفجوة (+فائض / -عجز)</t>
        </is>
      </c>
      <c r="K4" s="28" t="inlineStr">
        <is>
          <t>نسبة التغطية</t>
        </is>
      </c>
      <c r="L4" s="28" t="inlineStr">
        <is>
          <t>الحالة</t>
        </is>
      </c>
      <c r="M4" s="28" t="inlineStr">
        <is>
          <t>القيمة قبل التقريب</t>
        </is>
      </c>
      <c r="N4" s="28" t="inlineStr">
        <is>
          <t>ملاحظات</t>
        </is>
      </c>
    </row>
    <row r="5">
      <c r="A5" s="30" t="n">
        <v>1</v>
      </c>
      <c r="B5" s="31" t="inlineStr">
        <is>
          <t>طبيب</t>
        </is>
      </c>
      <c r="C5" s="5" t="inlineStr">
        <is>
          <t>استشاري طب أسرة أو استشاري باطنة (Hospitalist)</t>
        </is>
      </c>
      <c r="D5" s="32" t="n">
        <v>1</v>
      </c>
      <c r="E5" s="32" t="n">
        <v>2</v>
      </c>
      <c r="F5" s="32" t="n">
        <v>4</v>
      </c>
      <c r="G5" s="32" t="n">
        <v>6</v>
      </c>
      <c r="H5" s="33">
        <f>IF(RMODE="تقريب لأعلى",ROUNDUP(M5,0),ROUND(M5,0))</f>
        <v/>
      </c>
      <c r="I5" s="34" t="n"/>
      <c r="J5" s="35">
        <f>I5-H5</f>
        <v/>
      </c>
      <c r="K5" s="36">
        <f>IF(H5=0,"",I5/H5)</f>
        <v/>
      </c>
      <c r="L5" s="37">
        <f>IF(H5=0,"لا ينطبق",IF(I5&gt;=H5,"مكتمل",IF(I5=0,"لا يوجد","عجز")))</f>
        <v/>
      </c>
      <c r="M5" s="38">
        <f>IF(CAP&lt;=$D$4,D5*CAP/$D$4,IF(CAP&gt;=$G$4,G5*CAP/$G$4,INDEX($D5:$G5,$D$3)+$E$3*(INDEX($D5:$G5,$D$3+1)-INDEX($D5:$G5,$D$3))))</f>
        <v/>
      </c>
      <c r="N5" s="39" t="inlineStr"/>
    </row>
    <row r="6">
      <c r="A6" s="30" t="n">
        <v>2</v>
      </c>
      <c r="B6" s="31" t="inlineStr">
        <is>
          <t>طبيب</t>
        </is>
      </c>
      <c r="C6" s="5" t="inlineStr">
        <is>
          <t>أخصائي طب أسرة أو أخصائي باطنة (Hospitalist)</t>
        </is>
      </c>
      <c r="D6" s="32" t="n">
        <v>2</v>
      </c>
      <c r="E6" s="32" t="n">
        <v>4</v>
      </c>
      <c r="F6" s="32" t="n">
        <v>8</v>
      </c>
      <c r="G6" s="32" t="n">
        <v>12</v>
      </c>
      <c r="H6" s="33">
        <f>IF(RMODE="تقريب لأعلى",ROUNDUP(M6,0),ROUND(M6,0))</f>
        <v/>
      </c>
      <c r="I6" s="34" t="n"/>
      <c r="J6" s="35">
        <f>I6-H6</f>
        <v/>
      </c>
      <c r="K6" s="36">
        <f>IF(H6=0,"",I6/H6)</f>
        <v/>
      </c>
      <c r="L6" s="37">
        <f>IF(H6=0,"لا ينطبق",IF(I6&gt;=H6,"مكتمل",IF(I6=0,"لا يوجد","عجز")))</f>
        <v/>
      </c>
      <c r="M6" s="38">
        <f>IF(CAP&lt;=$D$4,D6*CAP/$D$4,IF(CAP&gt;=$G$4,G6*CAP/$G$4,INDEX($D6:$G6,$D$3)+$E$3*(INDEX($D6:$G6,$D$3+1)-INDEX($D6:$G6,$D$3))))</f>
        <v/>
      </c>
      <c r="N6" s="39" t="inlineStr"/>
    </row>
    <row r="7">
      <c r="A7" s="30" t="n">
        <v>3</v>
      </c>
      <c r="B7" s="31" t="inlineStr">
        <is>
          <t>طبيب</t>
        </is>
      </c>
      <c r="C7" s="5" t="inlineStr">
        <is>
          <t>مقيم</t>
        </is>
      </c>
      <c r="D7" s="32" t="n">
        <v>8</v>
      </c>
      <c r="E7" s="32" t="n">
        <v>16</v>
      </c>
      <c r="F7" s="32" t="n">
        <v>32</v>
      </c>
      <c r="G7" s="32" t="n">
        <v>48</v>
      </c>
      <c r="H7" s="33">
        <f>IF(RMODE="تقريب لأعلى",ROUNDUP(M7,0),ROUND(M7,0))</f>
        <v/>
      </c>
      <c r="I7" s="34" t="n"/>
      <c r="J7" s="35">
        <f>I7-H7</f>
        <v/>
      </c>
      <c r="K7" s="36">
        <f>IF(H7=0,"",I7/H7)</f>
        <v/>
      </c>
      <c r="L7" s="37">
        <f>IF(H7=0,"لا ينطبق",IF(I7&gt;=H7,"مكتمل",IF(I7=0,"لا يوجد","عجز")))</f>
        <v/>
      </c>
      <c r="M7" s="38">
        <f>IF(CAP&lt;=$D$4,D7*CAP/$D$4,IF(CAP&gt;=$G$4,G7*CAP/$G$4,INDEX($D7:$G7,$D$3)+$E$3*(INDEX($D7:$G7,$D$3+1)-INDEX($D7:$G7,$D$3))))</f>
        <v/>
      </c>
      <c r="N7" s="39" t="inlineStr"/>
    </row>
    <row r="8">
      <c r="A8" s="30" t="n">
        <v>4</v>
      </c>
      <c r="B8" s="31" t="inlineStr">
        <is>
          <t>طبيب</t>
        </is>
      </c>
      <c r="C8" s="5" t="inlineStr">
        <is>
          <t>استشاري أمراض صدرية</t>
        </is>
      </c>
      <c r="D8" s="32" t="n">
        <v>0</v>
      </c>
      <c r="E8" s="32" t="n">
        <v>0</v>
      </c>
      <c r="F8" s="32" t="n">
        <v>0</v>
      </c>
      <c r="G8" s="32" t="n">
        <v>0</v>
      </c>
      <c r="H8" s="33">
        <f>IF(RMODE="تقريب لأعلى",ROUNDUP(M8,0),ROUND(M8,0))</f>
        <v/>
      </c>
      <c r="I8" s="34" t="n"/>
      <c r="J8" s="35">
        <f>I8-H8</f>
        <v/>
      </c>
      <c r="K8" s="36">
        <f>IF(H8=0,"",I8/H8)</f>
        <v/>
      </c>
      <c r="L8" s="37">
        <f>IF(H8=0,"لا ينطبق",IF(I8&gt;=H8,"مكتمل",IF(I8=0,"لا يوجد","عجز")))</f>
        <v/>
      </c>
      <c r="M8" s="38">
        <f>IF(CAP&lt;=$D$4,D8*CAP/$D$4,IF(CAP&gt;=$G$4,G8*CAP/$G$4,INDEX($D8:$G8,$D$3)+$E$3*(INDEX($D8:$G8,$D$3+1)-INDEX($D8:$G8,$D$3))))</f>
        <v/>
      </c>
      <c r="N8" s="39" t="inlineStr"/>
    </row>
    <row r="9">
      <c r="A9" s="30" t="n">
        <v>5</v>
      </c>
      <c r="B9" s="31" t="inlineStr">
        <is>
          <t>طبيب</t>
        </is>
      </c>
      <c r="C9" s="5" t="inlineStr">
        <is>
          <t>أخصائي أمراض صدرية</t>
        </is>
      </c>
      <c r="D9" s="32" t="n">
        <v>0</v>
      </c>
      <c r="E9" s="32" t="n">
        <v>0</v>
      </c>
      <c r="F9" s="32" t="n">
        <v>0</v>
      </c>
      <c r="G9" s="32" t="n">
        <v>0</v>
      </c>
      <c r="H9" s="33">
        <f>IF(RMODE="تقريب لأعلى",ROUNDUP(M9,0),ROUND(M9,0))</f>
        <v/>
      </c>
      <c r="I9" s="34" t="n"/>
      <c r="J9" s="35">
        <f>I9-H9</f>
        <v/>
      </c>
      <c r="K9" s="36">
        <f>IF(H9=0,"",I9/H9)</f>
        <v/>
      </c>
      <c r="L9" s="37">
        <f>IF(H9=0,"لا ينطبق",IF(I9&gt;=H9,"مكتمل",IF(I9=0,"لا يوجد","عجز")))</f>
        <v/>
      </c>
      <c r="M9" s="38">
        <f>IF(CAP&lt;=$D$4,D9*CAP/$D$4,IF(CAP&gt;=$G$4,G9*CAP/$G$4,INDEX($D9:$G9,$D$3)+$E$3*(INDEX($D9:$G9,$D$3+1)-INDEX($D9:$G9,$D$3))))</f>
        <v/>
      </c>
      <c r="N9" s="39" t="inlineStr"/>
    </row>
    <row r="10">
      <c r="A10" s="30" t="n">
        <v>6</v>
      </c>
      <c r="B10" s="31" t="inlineStr">
        <is>
          <t>طبيب</t>
        </is>
      </c>
      <c r="C10" s="5" t="inlineStr">
        <is>
          <t>استشاري نفسية</t>
        </is>
      </c>
      <c r="D10" s="32" t="n">
        <v>0</v>
      </c>
      <c r="E10" s="32" t="n">
        <v>0</v>
      </c>
      <c r="F10" s="32" t="n">
        <v>0</v>
      </c>
      <c r="G10" s="32" t="n">
        <v>0</v>
      </c>
      <c r="H10" s="33">
        <f>IF(RMODE="تقريب لأعلى",ROUNDUP(M10,0),ROUND(M10,0))</f>
        <v/>
      </c>
      <c r="I10" s="34" t="n"/>
      <c r="J10" s="35">
        <f>I10-H10</f>
        <v/>
      </c>
      <c r="K10" s="36">
        <f>IF(H10=0,"",I10/H10)</f>
        <v/>
      </c>
      <c r="L10" s="37">
        <f>IF(H10=0,"لا ينطبق",IF(I10&gt;=H10,"مكتمل",IF(I10=0,"لا يوجد","عجز")))</f>
        <v/>
      </c>
      <c r="M10" s="38">
        <f>IF(CAP&lt;=$D$4,D10*CAP/$D$4,IF(CAP&gt;=$G$4,G10*CAP/$G$4,INDEX($D10:$G10,$D$3)+$E$3*(INDEX($D10:$G10,$D$3+1)-INDEX($D10:$G10,$D$3))))</f>
        <v/>
      </c>
      <c r="N10" s="39" t="inlineStr"/>
    </row>
    <row r="11">
      <c r="A11" s="30" t="n">
        <v>7</v>
      </c>
      <c r="B11" s="31" t="inlineStr">
        <is>
          <t>طبيب</t>
        </is>
      </c>
      <c r="C11" s="5" t="inlineStr">
        <is>
          <t>أخصائي نفسية</t>
        </is>
      </c>
      <c r="D11" s="32" t="n">
        <v>1</v>
      </c>
      <c r="E11" s="32" t="n">
        <v>2</v>
      </c>
      <c r="F11" s="32" t="n">
        <v>4</v>
      </c>
      <c r="G11" s="32" t="n">
        <v>6</v>
      </c>
      <c r="H11" s="33">
        <f>IF(RMODE="تقريب لأعلى",ROUNDUP(M11,0),ROUND(M11,0))</f>
        <v/>
      </c>
      <c r="I11" s="34" t="n"/>
      <c r="J11" s="35">
        <f>I11-H11</f>
        <v/>
      </c>
      <c r="K11" s="36">
        <f>IF(H11=0,"",I11/H11)</f>
        <v/>
      </c>
      <c r="L11" s="37">
        <f>IF(H11=0,"لا ينطبق",IF(I11&gt;=H11,"مكتمل",IF(I11=0,"لا يوجد","عجز")))</f>
        <v/>
      </c>
      <c r="M11" s="38">
        <f>IF(CAP&lt;=$D$4,D11*CAP/$D$4,IF(CAP&gt;=$G$4,G11*CAP/$G$4,INDEX($D11:$G11,$D$3)+$E$3*(INDEX($D11:$G11,$D$3+1)-INDEX($D11:$G11,$D$3))))</f>
        <v/>
      </c>
      <c r="N11" s="39" t="inlineStr"/>
    </row>
    <row r="12">
      <c r="A12" s="30" t="n">
        <v>8</v>
      </c>
      <c r="B12" s="31" t="inlineStr">
        <is>
          <t>طبيب</t>
        </is>
      </c>
      <c r="C12" s="5" t="inlineStr">
        <is>
          <t>استشاري أمراض جلدية وتناسلية</t>
        </is>
      </c>
      <c r="D12" s="32" t="n">
        <v>0</v>
      </c>
      <c r="E12" s="32" t="n">
        <v>0</v>
      </c>
      <c r="F12" s="32" t="n">
        <v>0</v>
      </c>
      <c r="G12" s="32" t="n">
        <v>0</v>
      </c>
      <c r="H12" s="33">
        <f>IF(RMODE="تقريب لأعلى",ROUNDUP(M12,0),ROUND(M12,0))</f>
        <v/>
      </c>
      <c r="I12" s="34" t="n"/>
      <c r="J12" s="35">
        <f>I12-H12</f>
        <v/>
      </c>
      <c r="K12" s="36">
        <f>IF(H12=0,"",I12/H12)</f>
        <v/>
      </c>
      <c r="L12" s="37">
        <f>IF(H12=0,"لا ينطبق",IF(I12&gt;=H12,"مكتمل",IF(I12=0,"لا يوجد","عجز")))</f>
        <v/>
      </c>
      <c r="M12" s="38">
        <f>IF(CAP&lt;=$D$4,D12*CAP/$D$4,IF(CAP&gt;=$G$4,G12*CAP/$G$4,INDEX($D12:$G12,$D$3)+$E$3*(INDEX($D12:$G12,$D$3+1)-INDEX($D12:$G12,$D$3))))</f>
        <v/>
      </c>
      <c r="N12" s="39" t="inlineStr"/>
    </row>
    <row r="13">
      <c r="A13" s="30" t="n">
        <v>9</v>
      </c>
      <c r="B13" s="31" t="inlineStr">
        <is>
          <t>طبيب</t>
        </is>
      </c>
      <c r="C13" s="5" t="inlineStr">
        <is>
          <t>أخصائي أمراض جلدية وتناسلية</t>
        </is>
      </c>
      <c r="D13" s="32" t="n">
        <v>1</v>
      </c>
      <c r="E13" s="32" t="n">
        <v>2</v>
      </c>
      <c r="F13" s="32" t="n">
        <v>4</v>
      </c>
      <c r="G13" s="32" t="n">
        <v>6</v>
      </c>
      <c r="H13" s="33">
        <f>IF(RMODE="تقريب لأعلى",ROUNDUP(M13,0),ROUND(M13,0))</f>
        <v/>
      </c>
      <c r="I13" s="34" t="n"/>
      <c r="J13" s="35">
        <f>I13-H13</f>
        <v/>
      </c>
      <c r="K13" s="36">
        <f>IF(H13=0,"",I13/H13)</f>
        <v/>
      </c>
      <c r="L13" s="37">
        <f>IF(H13=0,"لا ينطبق",IF(I13&gt;=H13,"مكتمل",IF(I13=0,"لا يوجد","عجز")))</f>
        <v/>
      </c>
      <c r="M13" s="38">
        <f>IF(CAP&lt;=$D$4,D13*CAP/$D$4,IF(CAP&gt;=$G$4,G13*CAP/$G$4,INDEX($D13:$G13,$D$3)+$E$3*(INDEX($D13:$G13,$D$3+1)-INDEX($D13:$G13,$D$3))))</f>
        <v/>
      </c>
      <c r="N13" s="39" t="inlineStr"/>
    </row>
    <row r="14">
      <c r="A14" s="30" t="n">
        <v>10</v>
      </c>
      <c r="B14" s="31" t="inlineStr">
        <is>
          <t>طبيب</t>
        </is>
      </c>
      <c r="C14" s="5" t="inlineStr">
        <is>
          <t>استشاري جراحة عامة</t>
        </is>
      </c>
      <c r="D14" s="32" t="n">
        <v>0</v>
      </c>
      <c r="E14" s="32" t="n">
        <v>0</v>
      </c>
      <c r="F14" s="32" t="n">
        <v>0</v>
      </c>
      <c r="G14" s="32" t="n">
        <v>0</v>
      </c>
      <c r="H14" s="33">
        <f>IF(RMODE="تقريب لأعلى",ROUNDUP(M14,0),ROUND(M14,0))</f>
        <v/>
      </c>
      <c r="I14" s="34" t="n"/>
      <c r="J14" s="35">
        <f>I14-H14</f>
        <v/>
      </c>
      <c r="K14" s="36">
        <f>IF(H14=0,"",I14/H14)</f>
        <v/>
      </c>
      <c r="L14" s="37">
        <f>IF(H14=0,"لا ينطبق",IF(I14&gt;=H14,"مكتمل",IF(I14=0,"لا يوجد","عجز")))</f>
        <v/>
      </c>
      <c r="M14" s="38">
        <f>IF(CAP&lt;=$D$4,D14*CAP/$D$4,IF(CAP&gt;=$G$4,G14*CAP/$G$4,INDEX($D14:$G14,$D$3)+$E$3*(INDEX($D14:$G14,$D$3+1)-INDEX($D14:$G14,$D$3))))</f>
        <v/>
      </c>
      <c r="N14" s="39" t="inlineStr"/>
    </row>
    <row r="15">
      <c r="A15" s="30" t="n">
        <v>11</v>
      </c>
      <c r="B15" s="31" t="inlineStr">
        <is>
          <t>طبيب</t>
        </is>
      </c>
      <c r="C15" s="5" t="inlineStr">
        <is>
          <t>أخصائي جراحة عامة</t>
        </is>
      </c>
      <c r="D15" s="32" t="n">
        <v>1</v>
      </c>
      <c r="E15" s="32" t="n">
        <v>2</v>
      </c>
      <c r="F15" s="32" t="n">
        <v>4</v>
      </c>
      <c r="G15" s="32" t="n">
        <v>6</v>
      </c>
      <c r="H15" s="33">
        <f>IF(RMODE="تقريب لأعلى",ROUNDUP(M15,0),ROUND(M15,0))</f>
        <v/>
      </c>
      <c r="I15" s="34" t="n"/>
      <c r="J15" s="35">
        <f>I15-H15</f>
        <v/>
      </c>
      <c r="K15" s="36">
        <f>IF(H15=0,"",I15/H15)</f>
        <v/>
      </c>
      <c r="L15" s="37">
        <f>IF(H15=0,"لا ينطبق",IF(I15&gt;=H15,"مكتمل",IF(I15=0,"لا يوجد","عجز")))</f>
        <v/>
      </c>
      <c r="M15" s="38">
        <f>IF(CAP&lt;=$D$4,D15*CAP/$D$4,IF(CAP&gt;=$G$4,G15*CAP/$G$4,INDEX($D15:$G15,$D$3)+$E$3*(INDEX($D15:$G15,$D$3+1)-INDEX($D15:$G15,$D$3))))</f>
        <v/>
      </c>
      <c r="N15" s="39" t="inlineStr"/>
    </row>
    <row r="16">
      <c r="A16" s="30" t="n">
        <v>12</v>
      </c>
      <c r="B16" s="31" t="inlineStr">
        <is>
          <t>طبيب</t>
        </is>
      </c>
      <c r="C16" s="5" t="inlineStr">
        <is>
          <t>مقيم جراحة عامة</t>
        </is>
      </c>
      <c r="D16" s="32" t="n">
        <v>0</v>
      </c>
      <c r="E16" s="32" t="n">
        <v>0</v>
      </c>
      <c r="F16" s="32" t="n">
        <v>0</v>
      </c>
      <c r="G16" s="32" t="n">
        <v>0</v>
      </c>
      <c r="H16" s="33">
        <f>IF(RMODE="تقريب لأعلى",ROUNDUP(M16,0),ROUND(M16,0))</f>
        <v/>
      </c>
      <c r="I16" s="34" t="n"/>
      <c r="J16" s="35">
        <f>I16-H16</f>
        <v/>
      </c>
      <c r="K16" s="36">
        <f>IF(H16=0,"",I16/H16)</f>
        <v/>
      </c>
      <c r="L16" s="37">
        <f>IF(H16=0,"لا ينطبق",IF(I16&gt;=H16,"مكتمل",IF(I16=0,"لا يوجد","عجز")))</f>
        <v/>
      </c>
      <c r="M16" s="38">
        <f>IF(CAP&lt;=$D$4,D16*CAP/$D$4,IF(CAP&gt;=$G$4,G16*CAP/$G$4,INDEX($D16:$G16,$D$3)+$E$3*(INDEX($D16:$G16,$D$3+1)-INDEX($D16:$G16,$D$3))))</f>
        <v/>
      </c>
      <c r="N16" s="39" t="inlineStr"/>
    </row>
    <row r="17">
      <c r="A17" s="30" t="n">
        <v>13</v>
      </c>
      <c r="B17" s="31" t="inlineStr">
        <is>
          <t>طبيب</t>
        </is>
      </c>
      <c r="C17" s="5" t="inlineStr">
        <is>
          <t>استشاري مسالك بولية</t>
        </is>
      </c>
      <c r="D17" s="32" t="n">
        <v>0</v>
      </c>
      <c r="E17" s="32" t="n">
        <v>0</v>
      </c>
      <c r="F17" s="32" t="n">
        <v>0</v>
      </c>
      <c r="G17" s="32" t="n">
        <v>0</v>
      </c>
      <c r="H17" s="33">
        <f>IF(RMODE="تقريب لأعلى",ROUNDUP(M17,0),ROUND(M17,0))</f>
        <v/>
      </c>
      <c r="I17" s="34" t="n"/>
      <c r="J17" s="35">
        <f>I17-H17</f>
        <v/>
      </c>
      <c r="K17" s="36">
        <f>IF(H17=0,"",I17/H17)</f>
        <v/>
      </c>
      <c r="L17" s="37">
        <f>IF(H17=0,"لا ينطبق",IF(I17&gt;=H17,"مكتمل",IF(I17=0,"لا يوجد","عجز")))</f>
        <v/>
      </c>
      <c r="M17" s="38">
        <f>IF(CAP&lt;=$D$4,D17*CAP/$D$4,IF(CAP&gt;=$G$4,G17*CAP/$G$4,INDEX($D17:$G17,$D$3)+$E$3*(INDEX($D17:$G17,$D$3+1)-INDEX($D17:$G17,$D$3))))</f>
        <v/>
      </c>
      <c r="N17" s="39" t="inlineStr"/>
    </row>
    <row r="18">
      <c r="A18" s="30" t="n">
        <v>14</v>
      </c>
      <c r="B18" s="31" t="inlineStr">
        <is>
          <t>طبيب</t>
        </is>
      </c>
      <c r="C18" s="5" t="inlineStr">
        <is>
          <t>أخصائي مسالك بولية</t>
        </is>
      </c>
      <c r="D18" s="32" t="n">
        <v>1</v>
      </c>
      <c r="E18" s="32" t="n">
        <v>2</v>
      </c>
      <c r="F18" s="32" t="n">
        <v>4</v>
      </c>
      <c r="G18" s="32" t="n">
        <v>6</v>
      </c>
      <c r="H18" s="33">
        <f>IF(RMODE="تقريب لأعلى",ROUNDUP(M18,0),ROUND(M18,0))</f>
        <v/>
      </c>
      <c r="I18" s="34" t="n"/>
      <c r="J18" s="35">
        <f>I18-H18</f>
        <v/>
      </c>
      <c r="K18" s="36">
        <f>IF(H18=0,"",I18/H18)</f>
        <v/>
      </c>
      <c r="L18" s="37">
        <f>IF(H18=0,"لا ينطبق",IF(I18&gt;=H18,"مكتمل",IF(I18=0,"لا يوجد","عجز")))</f>
        <v/>
      </c>
      <c r="M18" s="38">
        <f>IF(CAP&lt;=$D$4,D18*CAP/$D$4,IF(CAP&gt;=$G$4,G18*CAP/$G$4,INDEX($D18:$G18,$D$3)+$E$3*(INDEX($D18:$G18,$D$3+1)-INDEX($D18:$G18,$D$3))))</f>
        <v/>
      </c>
      <c r="N18" s="39" t="inlineStr"/>
    </row>
    <row r="19">
      <c r="A19" s="30" t="n">
        <v>15</v>
      </c>
      <c r="B19" s="31" t="inlineStr">
        <is>
          <t>طبيب</t>
        </is>
      </c>
      <c r="C19" s="5" t="inlineStr">
        <is>
          <t>استشاري عظام</t>
        </is>
      </c>
      <c r="D19" s="32" t="n">
        <v>0</v>
      </c>
      <c r="E19" s="32" t="n">
        <v>0</v>
      </c>
      <c r="F19" s="32" t="n">
        <v>0</v>
      </c>
      <c r="G19" s="32" t="n">
        <v>0</v>
      </c>
      <c r="H19" s="33">
        <f>IF(RMODE="تقريب لأعلى",ROUNDUP(M19,0),ROUND(M19,0))</f>
        <v/>
      </c>
      <c r="I19" s="34" t="n"/>
      <c r="J19" s="35">
        <f>I19-H19</f>
        <v/>
      </c>
      <c r="K19" s="36">
        <f>IF(H19=0,"",I19/H19)</f>
        <v/>
      </c>
      <c r="L19" s="37">
        <f>IF(H19=0,"لا ينطبق",IF(I19&gt;=H19,"مكتمل",IF(I19=0,"لا يوجد","عجز")))</f>
        <v/>
      </c>
      <c r="M19" s="38">
        <f>IF(CAP&lt;=$D$4,D19*CAP/$D$4,IF(CAP&gt;=$G$4,G19*CAP/$G$4,INDEX($D19:$G19,$D$3)+$E$3*(INDEX($D19:$G19,$D$3+1)-INDEX($D19:$G19,$D$3))))</f>
        <v/>
      </c>
      <c r="N19" s="39" t="inlineStr"/>
    </row>
    <row r="20">
      <c r="A20" s="30" t="n">
        <v>16</v>
      </c>
      <c r="B20" s="31" t="inlineStr">
        <is>
          <t>طبيب</t>
        </is>
      </c>
      <c r="C20" s="5" t="inlineStr">
        <is>
          <t>أخصائي عظام</t>
        </is>
      </c>
      <c r="D20" s="32" t="n">
        <v>1</v>
      </c>
      <c r="E20" s="32" t="n">
        <v>2</v>
      </c>
      <c r="F20" s="32" t="n">
        <v>4</v>
      </c>
      <c r="G20" s="32" t="n">
        <v>6</v>
      </c>
      <c r="H20" s="33">
        <f>IF(RMODE="تقريب لأعلى",ROUNDUP(M20,0),ROUND(M20,0))</f>
        <v/>
      </c>
      <c r="I20" s="34" t="n"/>
      <c r="J20" s="35">
        <f>I20-H20</f>
        <v/>
      </c>
      <c r="K20" s="36">
        <f>IF(H20=0,"",I20/H20)</f>
        <v/>
      </c>
      <c r="L20" s="37">
        <f>IF(H20=0,"لا ينطبق",IF(I20&gt;=H20,"مكتمل",IF(I20=0,"لا يوجد","عجز")))</f>
        <v/>
      </c>
      <c r="M20" s="38">
        <f>IF(CAP&lt;=$D$4,D20*CAP/$D$4,IF(CAP&gt;=$G$4,G20*CAP/$G$4,INDEX($D20:$G20,$D$3)+$E$3*(INDEX($D20:$G20,$D$3+1)-INDEX($D20:$G20,$D$3))))</f>
        <v/>
      </c>
      <c r="N20" s="39" t="inlineStr"/>
    </row>
    <row r="21">
      <c r="A21" s="30" t="n">
        <v>17</v>
      </c>
      <c r="B21" s="31" t="inlineStr">
        <is>
          <t>طبيب</t>
        </is>
      </c>
      <c r="C21" s="5" t="inlineStr">
        <is>
          <t>استشاري جراحة تجميل وحروق</t>
        </is>
      </c>
      <c r="D21" s="32" t="n">
        <v>0</v>
      </c>
      <c r="E21" s="32" t="n">
        <v>0</v>
      </c>
      <c r="F21" s="32" t="n">
        <v>0</v>
      </c>
      <c r="G21" s="32" t="n">
        <v>0</v>
      </c>
      <c r="H21" s="33">
        <f>IF(RMODE="تقريب لأعلى",ROUNDUP(M21,0),ROUND(M21,0))</f>
        <v/>
      </c>
      <c r="I21" s="34" t="n"/>
      <c r="J21" s="35">
        <f>I21-H21</f>
        <v/>
      </c>
      <c r="K21" s="36">
        <f>IF(H21=0,"",I21/H21)</f>
        <v/>
      </c>
      <c r="L21" s="37">
        <f>IF(H21=0,"لا ينطبق",IF(I21&gt;=H21,"مكتمل",IF(I21=0,"لا يوجد","عجز")))</f>
        <v/>
      </c>
      <c r="M21" s="38">
        <f>IF(CAP&lt;=$D$4,D21*CAP/$D$4,IF(CAP&gt;=$G$4,G21*CAP/$G$4,INDEX($D21:$G21,$D$3)+$E$3*(INDEX($D21:$G21,$D$3+1)-INDEX($D21:$G21,$D$3))))</f>
        <v/>
      </c>
      <c r="N21" s="39" t="inlineStr"/>
    </row>
    <row r="22">
      <c r="A22" s="30" t="n">
        <v>18</v>
      </c>
      <c r="B22" s="31" t="inlineStr">
        <is>
          <t>طبيب</t>
        </is>
      </c>
      <c r="C22" s="5" t="inlineStr">
        <is>
          <t>أخصائي جراحة تجميل وحروق</t>
        </is>
      </c>
      <c r="D22" s="32" t="n">
        <v>1</v>
      </c>
      <c r="E22" s="32" t="n">
        <v>2</v>
      </c>
      <c r="F22" s="32" t="n">
        <v>4</v>
      </c>
      <c r="G22" s="32" t="n">
        <v>6</v>
      </c>
      <c r="H22" s="33">
        <f>IF(RMODE="تقريب لأعلى",ROUNDUP(M22,0),ROUND(M22,0))</f>
        <v/>
      </c>
      <c r="I22" s="34" t="n"/>
      <c r="J22" s="35">
        <f>I22-H22</f>
        <v/>
      </c>
      <c r="K22" s="36">
        <f>IF(H22=0,"",I22/H22)</f>
        <v/>
      </c>
      <c r="L22" s="37">
        <f>IF(H22=0,"لا ينطبق",IF(I22&gt;=H22,"مكتمل",IF(I22=0,"لا يوجد","عجز")))</f>
        <v/>
      </c>
      <c r="M22" s="38">
        <f>IF(CAP&lt;=$D$4,D22*CAP/$D$4,IF(CAP&gt;=$G$4,G22*CAP/$G$4,INDEX($D22:$G22,$D$3)+$E$3*(INDEX($D22:$G22,$D$3+1)-INDEX($D22:$G22,$D$3))))</f>
        <v/>
      </c>
      <c r="N22" s="39" t="inlineStr"/>
    </row>
    <row r="23">
      <c r="A23" s="30" t="n">
        <v>19</v>
      </c>
      <c r="B23" s="31" t="inlineStr">
        <is>
          <t>طبيب</t>
        </is>
      </c>
      <c r="C23" s="5" t="inlineStr">
        <is>
          <t>استشاري أطفال</t>
        </is>
      </c>
      <c r="D23" s="32" t="n">
        <v>1</v>
      </c>
      <c r="E23" s="32" t="n">
        <v>2</v>
      </c>
      <c r="F23" s="32" t="n">
        <v>4</v>
      </c>
      <c r="G23" s="32" t="n">
        <v>6</v>
      </c>
      <c r="H23" s="33">
        <f>IF(RMODE="تقريب لأعلى",ROUNDUP(M23,0),ROUND(M23,0))</f>
        <v/>
      </c>
      <c r="I23" s="34" t="n"/>
      <c r="J23" s="35">
        <f>I23-H23</f>
        <v/>
      </c>
      <c r="K23" s="36">
        <f>IF(H23=0,"",I23/H23)</f>
        <v/>
      </c>
      <c r="L23" s="37">
        <f>IF(H23=0,"لا ينطبق",IF(I23&gt;=H23,"مكتمل",IF(I23=0,"لا يوجد","عجز")))</f>
        <v/>
      </c>
      <c r="M23" s="38">
        <f>IF(CAP&lt;=$D$4,D23*CAP/$D$4,IF(CAP&gt;=$G$4,G23*CAP/$G$4,INDEX($D23:$G23,$D$3)+$E$3*(INDEX($D23:$G23,$D$3+1)-INDEX($D23:$G23,$D$3))))</f>
        <v/>
      </c>
      <c r="N23" s="39" t="inlineStr">
        <is>
          <t>في حال وجود قسم رعاية مديدة أطفال</t>
        </is>
      </c>
    </row>
    <row r="24">
      <c r="A24" s="30" t="n">
        <v>20</v>
      </c>
      <c r="B24" s="31" t="inlineStr">
        <is>
          <t>طبيب</t>
        </is>
      </c>
      <c r="C24" s="5" t="inlineStr">
        <is>
          <t>أخصائي أطفال</t>
        </is>
      </c>
      <c r="D24" s="32" t="n">
        <v>1</v>
      </c>
      <c r="E24" s="32" t="n">
        <v>2</v>
      </c>
      <c r="F24" s="32" t="n">
        <v>4</v>
      </c>
      <c r="G24" s="32" t="n">
        <v>6</v>
      </c>
      <c r="H24" s="33">
        <f>IF(RMODE="تقريب لأعلى",ROUNDUP(M24,0),ROUND(M24,0))</f>
        <v/>
      </c>
      <c r="I24" s="34" t="n"/>
      <c r="J24" s="35">
        <f>I24-H24</f>
        <v/>
      </c>
      <c r="K24" s="36">
        <f>IF(H24=0,"",I24/H24)</f>
        <v/>
      </c>
      <c r="L24" s="37">
        <f>IF(H24=0,"لا ينطبق",IF(I24&gt;=H24,"مكتمل",IF(I24=0,"لا يوجد","عجز")))</f>
        <v/>
      </c>
      <c r="M24" s="38">
        <f>IF(CAP&lt;=$D$4,D24*CAP/$D$4,IF(CAP&gt;=$G$4,G24*CAP/$G$4,INDEX($D24:$G24,$D$3)+$E$3*(INDEX($D24:$G24,$D$3+1)-INDEX($D24:$G24,$D$3))))</f>
        <v/>
      </c>
      <c r="N24" s="39" t="inlineStr">
        <is>
          <t>في حال وجود قسم رعاية مديدة أطفال</t>
        </is>
      </c>
    </row>
    <row r="25">
      <c r="A25" s="30" t="n">
        <v>21</v>
      </c>
      <c r="B25" s="31" t="inlineStr">
        <is>
          <t>طبيب</t>
        </is>
      </c>
      <c r="C25" s="5" t="inlineStr">
        <is>
          <t>استشاري تخدير</t>
        </is>
      </c>
      <c r="D25" s="32" t="n">
        <v>1</v>
      </c>
      <c r="E25" s="32" t="n">
        <v>2</v>
      </c>
      <c r="F25" s="32" t="n">
        <v>4</v>
      </c>
      <c r="G25" s="32" t="n">
        <v>6</v>
      </c>
      <c r="H25" s="33">
        <f>IF(RMODE="تقريب لأعلى",ROUNDUP(M25,0),ROUND(M25,0))</f>
        <v/>
      </c>
      <c r="I25" s="34" t="n"/>
      <c r="J25" s="35">
        <f>I25-H25</f>
        <v/>
      </c>
      <c r="K25" s="36">
        <f>IF(H25=0,"",I25/H25)</f>
        <v/>
      </c>
      <c r="L25" s="37">
        <f>IF(H25=0,"لا ينطبق",IF(I25&gt;=H25,"مكتمل",IF(I25=0,"لا يوجد","عجز")))</f>
        <v/>
      </c>
      <c r="M25" s="38">
        <f>IF(CAP&lt;=$D$4,D25*CAP/$D$4,IF(CAP&gt;=$G$4,G25*CAP/$G$4,INDEX($D25:$G25,$D$3)+$E$3*(INDEX($D25:$G25,$D$3+1)-INDEX($D25:$G25,$D$3))))</f>
        <v/>
      </c>
      <c r="N25" s="39" t="inlineStr">
        <is>
          <t>في حال وجود قسم عناية للرعاية المديدة</t>
        </is>
      </c>
    </row>
    <row r="26">
      <c r="A26" s="30" t="n">
        <v>22</v>
      </c>
      <c r="B26" s="31" t="inlineStr">
        <is>
          <t>طبيب</t>
        </is>
      </c>
      <c r="C26" s="5" t="inlineStr">
        <is>
          <t>أخصائي تخدير</t>
        </is>
      </c>
      <c r="D26" s="32" t="n">
        <v>4</v>
      </c>
      <c r="E26" s="32" t="n">
        <v>8</v>
      </c>
      <c r="F26" s="32" t="n">
        <v>16</v>
      </c>
      <c r="G26" s="32" t="n">
        <v>24</v>
      </c>
      <c r="H26" s="33">
        <f>IF(RMODE="تقريب لأعلى",ROUNDUP(M26,0),ROUND(M26,0))</f>
        <v/>
      </c>
      <c r="I26" s="34" t="n"/>
      <c r="J26" s="35">
        <f>I26-H26</f>
        <v/>
      </c>
      <c r="K26" s="36">
        <f>IF(H26=0,"",I26/H26)</f>
        <v/>
      </c>
      <c r="L26" s="37">
        <f>IF(H26=0,"لا ينطبق",IF(I26&gt;=H26,"مكتمل",IF(I26=0,"لا يوجد","عجز")))</f>
        <v/>
      </c>
      <c r="M26" s="38">
        <f>IF(CAP&lt;=$D$4,D26*CAP/$D$4,IF(CAP&gt;=$G$4,G26*CAP/$G$4,INDEX($D26:$G26,$D$3)+$E$3*(INDEX($D26:$G26,$D$3+1)-INDEX($D26:$G26,$D$3))))</f>
        <v/>
      </c>
      <c r="N26" s="39" t="inlineStr">
        <is>
          <t>في حال وجود قسم عناية للرعاية المديدة</t>
        </is>
      </c>
    </row>
    <row r="27">
      <c r="A27" s="30" t="n">
        <v>23</v>
      </c>
      <c r="B27" s="31" t="inlineStr">
        <is>
          <t>طبيب</t>
        </is>
      </c>
      <c r="C27" s="5" t="inlineStr">
        <is>
          <t>استشاري عناية مركزة ICU</t>
        </is>
      </c>
      <c r="D27" s="32" t="n">
        <v>1</v>
      </c>
      <c r="E27" s="32" t="n">
        <v>2</v>
      </c>
      <c r="F27" s="32" t="n">
        <v>4</v>
      </c>
      <c r="G27" s="32" t="n">
        <v>6</v>
      </c>
      <c r="H27" s="33">
        <f>IF(RMODE="تقريب لأعلى",ROUNDUP(M27,0),ROUND(M27,0))</f>
        <v/>
      </c>
      <c r="I27" s="34" t="n"/>
      <c r="J27" s="35">
        <f>I27-H27</f>
        <v/>
      </c>
      <c r="K27" s="36">
        <f>IF(H27=0,"",I27/H27)</f>
        <v/>
      </c>
      <c r="L27" s="37">
        <f>IF(H27=0,"لا ينطبق",IF(I27&gt;=H27,"مكتمل",IF(I27=0,"لا يوجد","عجز")))</f>
        <v/>
      </c>
      <c r="M27" s="38">
        <f>IF(CAP&lt;=$D$4,D27*CAP/$D$4,IF(CAP&gt;=$G$4,G27*CAP/$G$4,INDEX($D27:$G27,$D$3)+$E$3*(INDEX($D27:$G27,$D$3+1)-INDEX($D27:$G27,$D$3))))</f>
        <v/>
      </c>
      <c r="N27" s="39" t="inlineStr">
        <is>
          <t>في حال وجود قسم عناية للرعاية المديدة</t>
        </is>
      </c>
    </row>
    <row r="28">
      <c r="A28" s="30" t="n">
        <v>24</v>
      </c>
      <c r="B28" s="31" t="inlineStr">
        <is>
          <t>طبيب</t>
        </is>
      </c>
      <c r="C28" s="5" t="inlineStr">
        <is>
          <t>أخصائي عناية مركزة ICU</t>
        </is>
      </c>
      <c r="D28" s="32" t="n">
        <v>2</v>
      </c>
      <c r="E28" s="32" t="n">
        <v>4</v>
      </c>
      <c r="F28" s="32" t="n">
        <v>8</v>
      </c>
      <c r="G28" s="32" t="n">
        <v>12</v>
      </c>
      <c r="H28" s="33">
        <f>IF(RMODE="تقريب لأعلى",ROUNDUP(M28,0),ROUND(M28,0))</f>
        <v/>
      </c>
      <c r="I28" s="34" t="n"/>
      <c r="J28" s="35">
        <f>I28-H28</f>
        <v/>
      </c>
      <c r="K28" s="36">
        <f>IF(H28=0,"",I28/H28)</f>
        <v/>
      </c>
      <c r="L28" s="37">
        <f>IF(H28=0,"لا ينطبق",IF(I28&gt;=H28,"مكتمل",IF(I28=0,"لا يوجد","عجز")))</f>
        <v/>
      </c>
      <c r="M28" s="38">
        <f>IF(CAP&lt;=$D$4,D28*CAP/$D$4,IF(CAP&gt;=$G$4,G28*CAP/$G$4,INDEX($D28:$G28,$D$3)+$E$3*(INDEX($D28:$G28,$D$3+1)-INDEX($D28:$G28,$D$3))))</f>
        <v/>
      </c>
      <c r="N28" s="39" t="inlineStr">
        <is>
          <t>في حال وجود قسم عناية للرعاية المديدة</t>
        </is>
      </c>
    </row>
    <row r="29">
      <c r="A29" s="30" t="n">
        <v>25</v>
      </c>
      <c r="B29" s="31" t="inlineStr">
        <is>
          <t>طبيب</t>
        </is>
      </c>
      <c r="C29" s="5" t="inlineStr">
        <is>
          <t>مقيم عناية مركزة ICU</t>
        </is>
      </c>
      <c r="D29" s="32" t="n">
        <v>6</v>
      </c>
      <c r="E29" s="32" t="n">
        <v>12</v>
      </c>
      <c r="F29" s="32" t="n">
        <v>24</v>
      </c>
      <c r="G29" s="32" t="n">
        <v>36</v>
      </c>
      <c r="H29" s="33">
        <f>IF(RMODE="تقريب لأعلى",ROUNDUP(M29,0),ROUND(M29,0))</f>
        <v/>
      </c>
      <c r="I29" s="34" t="n"/>
      <c r="J29" s="35">
        <f>I29-H29</f>
        <v/>
      </c>
      <c r="K29" s="36">
        <f>IF(H29=0,"",I29/H29)</f>
        <v/>
      </c>
      <c r="L29" s="37">
        <f>IF(H29=0,"لا ينطبق",IF(I29&gt;=H29,"مكتمل",IF(I29=0,"لا يوجد","عجز")))</f>
        <v/>
      </c>
      <c r="M29" s="38">
        <f>IF(CAP&lt;=$D$4,D29*CAP/$D$4,IF(CAP&gt;=$G$4,G29*CAP/$G$4,INDEX($D29:$G29,$D$3)+$E$3*(INDEX($D29:$G29,$D$3+1)-INDEX($D29:$G29,$D$3))))</f>
        <v/>
      </c>
      <c r="N29" s="39" t="inlineStr">
        <is>
          <t>في حال وجود قسم عناية للرعاية المديدة</t>
        </is>
      </c>
    </row>
    <row r="30">
      <c r="A30" s="30" t="n">
        <v>26</v>
      </c>
      <c r="B30" s="31" t="inlineStr">
        <is>
          <t>طبيب</t>
        </is>
      </c>
      <c r="C30" s="5" t="inlineStr">
        <is>
          <t>استشاري عناية مركزة أطفال PICU</t>
        </is>
      </c>
      <c r="D30" s="32" t="n">
        <v>0</v>
      </c>
      <c r="E30" s="32" t="n">
        <v>0</v>
      </c>
      <c r="F30" s="32" t="n">
        <v>0</v>
      </c>
      <c r="G30" s="32" t="n">
        <v>0</v>
      </c>
      <c r="H30" s="33">
        <f>IF(RMODE="تقريب لأعلى",ROUNDUP(M30,0),ROUND(M30,0))</f>
        <v/>
      </c>
      <c r="I30" s="34" t="n"/>
      <c r="J30" s="35">
        <f>I30-H30</f>
        <v/>
      </c>
      <c r="K30" s="36">
        <f>IF(H30=0,"",I30/H30)</f>
        <v/>
      </c>
      <c r="L30" s="37">
        <f>IF(H30=0,"لا ينطبق",IF(I30&gt;=H30,"مكتمل",IF(I30=0,"لا يوجد","عجز")))</f>
        <v/>
      </c>
      <c r="M30" s="38">
        <f>IF(CAP&lt;=$D$4,D30*CAP/$D$4,IF(CAP&gt;=$G$4,G30*CAP/$G$4,INDEX($D30:$G30,$D$3)+$E$3*(INDEX($D30:$G30,$D$3+1)-INDEX($D30:$G30,$D$3))))</f>
        <v/>
      </c>
      <c r="N30" s="39" t="inlineStr"/>
    </row>
    <row r="31">
      <c r="A31" s="30" t="n">
        <v>27</v>
      </c>
      <c r="B31" s="31" t="inlineStr">
        <is>
          <t>طبيب</t>
        </is>
      </c>
      <c r="C31" s="5" t="inlineStr">
        <is>
          <t>أخصائي عناية مركزة أطفال PICU</t>
        </is>
      </c>
      <c r="D31" s="32" t="n">
        <v>0</v>
      </c>
      <c r="E31" s="32" t="n">
        <v>0</v>
      </c>
      <c r="F31" s="32" t="n">
        <v>0</v>
      </c>
      <c r="G31" s="32" t="n">
        <v>0</v>
      </c>
      <c r="H31" s="33">
        <f>IF(RMODE="تقريب لأعلى",ROUNDUP(M31,0),ROUND(M31,0))</f>
        <v/>
      </c>
      <c r="I31" s="34" t="n"/>
      <c r="J31" s="35">
        <f>I31-H31</f>
        <v/>
      </c>
      <c r="K31" s="36">
        <f>IF(H31=0,"",I31/H31)</f>
        <v/>
      </c>
      <c r="L31" s="37">
        <f>IF(H31=0,"لا ينطبق",IF(I31&gt;=H31,"مكتمل",IF(I31=0,"لا يوجد","عجز")))</f>
        <v/>
      </c>
      <c r="M31" s="38">
        <f>IF(CAP&lt;=$D$4,D31*CAP/$D$4,IF(CAP&gt;=$G$4,G31*CAP/$G$4,INDEX($D31:$G31,$D$3)+$E$3*(INDEX($D31:$G31,$D$3+1)-INDEX($D31:$G31,$D$3))))</f>
        <v/>
      </c>
      <c r="N31" s="39" t="inlineStr"/>
    </row>
    <row r="32">
      <c r="A32" s="30" t="n">
        <v>28</v>
      </c>
      <c r="B32" s="31" t="inlineStr">
        <is>
          <t>طبيب</t>
        </is>
      </c>
      <c r="C32" s="5" t="inlineStr">
        <is>
          <t>مقيم عناية مركزة أطفال PICU</t>
        </is>
      </c>
      <c r="D32" s="32" t="n">
        <v>0</v>
      </c>
      <c r="E32" s="32" t="n">
        <v>0</v>
      </c>
      <c r="F32" s="32" t="n">
        <v>0</v>
      </c>
      <c r="G32" s="32" t="n">
        <v>0</v>
      </c>
      <c r="H32" s="33">
        <f>IF(RMODE="تقريب لأعلى",ROUNDUP(M32,0),ROUND(M32,0))</f>
        <v/>
      </c>
      <c r="I32" s="34" t="n"/>
      <c r="J32" s="35">
        <f>I32-H32</f>
        <v/>
      </c>
      <c r="K32" s="36">
        <f>IF(H32=0,"",I32/H32)</f>
        <v/>
      </c>
      <c r="L32" s="37">
        <f>IF(H32=0,"لا ينطبق",IF(I32&gt;=H32,"مكتمل",IF(I32=0,"لا يوجد","عجز")))</f>
        <v/>
      </c>
      <c r="M32" s="38">
        <f>IF(CAP&lt;=$D$4,D32*CAP/$D$4,IF(CAP&gt;=$G$4,G32*CAP/$G$4,INDEX($D32:$G32,$D$3)+$E$3*(INDEX($D32:$G32,$D$3+1)-INDEX($D32:$G32,$D$3))))</f>
        <v/>
      </c>
      <c r="N32" s="39" t="inlineStr"/>
    </row>
    <row r="33">
      <c r="A33" s="30" t="n">
        <v>29</v>
      </c>
      <c r="B33" s="31" t="inlineStr">
        <is>
          <t>طبيب</t>
        </is>
      </c>
      <c r="C33" s="5" t="inlineStr">
        <is>
          <t>طبيب مقيم أسنان</t>
        </is>
      </c>
      <c r="D33" s="32" t="n">
        <v>1</v>
      </c>
      <c r="E33" s="32" t="n">
        <v>2</v>
      </c>
      <c r="F33" s="32" t="n">
        <v>4</v>
      </c>
      <c r="G33" s="32" t="n">
        <v>6</v>
      </c>
      <c r="H33" s="33">
        <f>IF(RMODE="تقريب لأعلى",ROUNDUP(M33,0),ROUND(M33,0))</f>
        <v/>
      </c>
      <c r="I33" s="34" t="n"/>
      <c r="J33" s="35">
        <f>I33-H33</f>
        <v/>
      </c>
      <c r="K33" s="36">
        <f>IF(H33=0,"",I33/H33)</f>
        <v/>
      </c>
      <c r="L33" s="37">
        <f>IF(H33=0,"لا ينطبق",IF(I33&gt;=H33,"مكتمل",IF(I33=0,"لا يوجد","عجز")))</f>
        <v/>
      </c>
      <c r="M33" s="38">
        <f>IF(CAP&lt;=$D$4,D33*CAP/$D$4,IF(CAP&gt;=$G$4,G33*CAP/$G$4,INDEX($D33:$G33,$D$3)+$E$3*(INDEX($D33:$G33,$D$3+1)-INDEX($D33:$G33,$D$3))))</f>
        <v/>
      </c>
      <c r="N33" s="39" t="inlineStr"/>
    </row>
    <row r="34">
      <c r="A34" s="30" t="n">
        <v>30</v>
      </c>
      <c r="B34" s="31" t="inlineStr">
        <is>
          <t>أخصائي غير طبيب</t>
        </is>
      </c>
      <c r="C34" s="5" t="inlineStr">
        <is>
          <t>مساعد طبيب أسنان</t>
        </is>
      </c>
      <c r="D34" s="32" t="n">
        <v>1</v>
      </c>
      <c r="E34" s="32" t="n">
        <v>2</v>
      </c>
      <c r="F34" s="32" t="n">
        <v>4</v>
      </c>
      <c r="G34" s="32" t="n">
        <v>6</v>
      </c>
      <c r="H34" s="33">
        <f>IF(RMODE="تقريب لأعلى",ROUNDUP(M34,0),ROUND(M34,0))</f>
        <v/>
      </c>
      <c r="I34" s="34" t="n"/>
      <c r="J34" s="35">
        <f>I34-H34</f>
        <v/>
      </c>
      <c r="K34" s="36">
        <f>IF(H34=0,"",I34/H34)</f>
        <v/>
      </c>
      <c r="L34" s="37">
        <f>IF(H34=0,"لا ينطبق",IF(I34&gt;=H34,"مكتمل",IF(I34=0,"لا يوجد","عجز")))</f>
        <v/>
      </c>
      <c r="M34" s="38">
        <f>IF(CAP&lt;=$D$4,D34*CAP/$D$4,IF(CAP&gt;=$G$4,G34*CAP/$G$4,INDEX($D34:$G34,$D$3)+$E$3*(INDEX($D34:$G34,$D$3+1)-INDEX($D34:$G34,$D$3))))</f>
        <v/>
      </c>
      <c r="N34" s="39" t="inlineStr"/>
    </row>
    <row r="35">
      <c r="A35" s="30" t="n">
        <v>31</v>
      </c>
      <c r="B35" s="31" t="inlineStr">
        <is>
          <t>طبيب</t>
        </is>
      </c>
      <c r="C35" s="5" t="inlineStr">
        <is>
          <t>طبيب استشاري عناية تلطيفية</t>
        </is>
      </c>
      <c r="D35" s="32" t="n">
        <v>1</v>
      </c>
      <c r="E35" s="32" t="n">
        <v>2</v>
      </c>
      <c r="F35" s="32" t="n">
        <v>4</v>
      </c>
      <c r="G35" s="32" t="n">
        <v>6</v>
      </c>
      <c r="H35" s="33">
        <f>IF(RMODE="تقريب لأعلى",ROUNDUP(M35,0),ROUND(M35,0))</f>
        <v/>
      </c>
      <c r="I35" s="34" t="n"/>
      <c r="J35" s="35">
        <f>I35-H35</f>
        <v/>
      </c>
      <c r="K35" s="36">
        <f>IF(H35=0,"",I35/H35)</f>
        <v/>
      </c>
      <c r="L35" s="37">
        <f>IF(H35=0,"لا ينطبق",IF(I35&gt;=H35,"مكتمل",IF(I35=0,"لا يوجد","عجز")))</f>
        <v/>
      </c>
      <c r="M35" s="38">
        <f>IF(CAP&lt;=$D$4,D35*CAP/$D$4,IF(CAP&gt;=$G$4,G35*CAP/$G$4,INDEX($D35:$G35,$D$3)+$E$3*(INDEX($D35:$G35,$D$3+1)-INDEX($D35:$G35,$D$3))))</f>
        <v/>
      </c>
      <c r="N35" s="39" t="inlineStr">
        <is>
          <t>في حال وجود رعاية تلطيفية</t>
        </is>
      </c>
    </row>
    <row r="36">
      <c r="A36" s="30" t="n">
        <v>32</v>
      </c>
      <c r="B36" s="31" t="inlineStr">
        <is>
          <t>طبيب</t>
        </is>
      </c>
      <c r="C36" s="5" t="inlineStr">
        <is>
          <t>طبيب أخصائي عناية تلطيفية</t>
        </is>
      </c>
      <c r="D36" s="32" t="n">
        <v>2</v>
      </c>
      <c r="E36" s="32" t="n">
        <v>4</v>
      </c>
      <c r="F36" s="32" t="n">
        <v>8</v>
      </c>
      <c r="G36" s="32" t="n">
        <v>12</v>
      </c>
      <c r="H36" s="33">
        <f>IF(RMODE="تقريب لأعلى",ROUNDUP(M36,0),ROUND(M36,0))</f>
        <v/>
      </c>
      <c r="I36" s="34" t="n"/>
      <c r="J36" s="35">
        <f>I36-H36</f>
        <v/>
      </c>
      <c r="K36" s="36">
        <f>IF(H36=0,"",I36/H36)</f>
        <v/>
      </c>
      <c r="L36" s="37">
        <f>IF(H36=0,"لا ينطبق",IF(I36&gt;=H36,"مكتمل",IF(I36=0,"لا يوجد","عجز")))</f>
        <v/>
      </c>
      <c r="M36" s="38">
        <f>IF(CAP&lt;=$D$4,D36*CAP/$D$4,IF(CAP&gt;=$G$4,G36*CAP/$G$4,INDEX($D36:$G36,$D$3)+$E$3*(INDEX($D36:$G36,$D$3+1)-INDEX($D36:$G36,$D$3))))</f>
        <v/>
      </c>
      <c r="N36" s="39" t="inlineStr">
        <is>
          <t>في حال وجود رعاية تلطيفية</t>
        </is>
      </c>
    </row>
    <row r="37">
      <c r="A37" s="30" t="n">
        <v>33</v>
      </c>
      <c r="B37" s="31" t="inlineStr">
        <is>
          <t>تمريض</t>
        </is>
      </c>
      <c r="C37" s="5" t="inlineStr">
        <is>
          <t>أخصائي أول تمريض</t>
        </is>
      </c>
      <c r="D37" s="32" t="n">
        <v>14</v>
      </c>
      <c r="E37" s="32" t="n">
        <v>28</v>
      </c>
      <c r="F37" s="32" t="n">
        <v>56</v>
      </c>
      <c r="G37" s="32" t="n">
        <v>84</v>
      </c>
      <c r="H37" s="33">
        <f>IF(RMODE="تقريب لأعلى",ROUNDUP(M37,0),ROUND(M37,0))</f>
        <v/>
      </c>
      <c r="I37" s="34" t="n"/>
      <c r="J37" s="35">
        <f>I37-H37</f>
        <v/>
      </c>
      <c r="K37" s="36">
        <f>IF(H37=0,"",I37/H37)</f>
        <v/>
      </c>
      <c r="L37" s="37">
        <f>IF(H37=0,"لا ينطبق",IF(I37&gt;=H37,"مكتمل",IF(I37=0,"لا يوجد","عجز")))</f>
        <v/>
      </c>
      <c r="M37" s="38">
        <f>IF(CAP&lt;=$D$4,D37*CAP/$D$4,IF(CAP&gt;=$G$4,G37*CAP/$G$4,INDEX($D37:$G37,$D$3)+$E$3*(INDEX($D37:$G37,$D$3+1)-INDEX($D37:$G37,$D$3))))</f>
        <v/>
      </c>
      <c r="N37" s="39" t="inlineStr"/>
    </row>
    <row r="38">
      <c r="A38" s="30" t="n">
        <v>34</v>
      </c>
      <c r="B38" s="31" t="inlineStr">
        <is>
          <t>تمريض</t>
        </is>
      </c>
      <c r="C38" s="5" t="inlineStr">
        <is>
          <t>أخصائي غير طبيب تمريض (نساء ورجال)</t>
        </is>
      </c>
      <c r="D38" s="32" t="n">
        <v>86</v>
      </c>
      <c r="E38" s="32" t="n">
        <v>172</v>
      </c>
      <c r="F38" s="32" t="n">
        <v>344</v>
      </c>
      <c r="G38" s="32" t="n">
        <v>516</v>
      </c>
      <c r="H38" s="33">
        <f>IF(RMODE="تقريب لأعلى",ROUNDUP(M38,0),ROUND(M38,0))</f>
        <v/>
      </c>
      <c r="I38" s="34" t="n"/>
      <c r="J38" s="35">
        <f>I38-H38</f>
        <v/>
      </c>
      <c r="K38" s="36">
        <f>IF(H38=0,"",I38/H38)</f>
        <v/>
      </c>
      <c r="L38" s="37">
        <f>IF(H38=0,"لا ينطبق",IF(I38&gt;=H38,"مكتمل",IF(I38=0,"لا يوجد","عجز")))</f>
        <v/>
      </c>
      <c r="M38" s="38">
        <f>IF(CAP&lt;=$D$4,D38*CAP/$D$4,IF(CAP&gt;=$G$4,G38*CAP/$G$4,INDEX($D38:$G38,$D$3)+$E$3*(INDEX($D38:$G38,$D$3+1)-INDEX($D38:$G38,$D$3))))</f>
        <v/>
      </c>
      <c r="N38" s="39" t="inlineStr"/>
    </row>
    <row r="39">
      <c r="A39" s="30" t="n">
        <v>35</v>
      </c>
      <c r="B39" s="31" t="inlineStr">
        <is>
          <t>تمريض</t>
        </is>
      </c>
      <c r="C39" s="5" t="inlineStr">
        <is>
          <t>فني وفنية تمريض</t>
        </is>
      </c>
      <c r="D39" s="32" t="n">
        <v>42</v>
      </c>
      <c r="E39" s="32" t="n">
        <v>84</v>
      </c>
      <c r="F39" s="32" t="n">
        <v>168</v>
      </c>
      <c r="G39" s="32" t="n">
        <v>252</v>
      </c>
      <c r="H39" s="33">
        <f>IF(RMODE="تقريب لأعلى",ROUNDUP(M39,0),ROUND(M39,0))</f>
        <v/>
      </c>
      <c r="I39" s="34" t="n"/>
      <c r="J39" s="35">
        <f>I39-H39</f>
        <v/>
      </c>
      <c r="K39" s="36">
        <f>IF(H39=0,"",I39/H39)</f>
        <v/>
      </c>
      <c r="L39" s="37">
        <f>IF(H39=0,"لا ينطبق",IF(I39&gt;=H39,"مكتمل",IF(I39=0,"لا يوجد","عجز")))</f>
        <v/>
      </c>
      <c r="M39" s="38">
        <f>IF(CAP&lt;=$D$4,D39*CAP/$D$4,IF(CAP&gt;=$G$4,G39*CAP/$G$4,INDEX($D39:$G39,$D$3)+$E$3*(INDEX($D39:$G39,$D$3+1)-INDEX($D39:$G39,$D$3))))</f>
        <v/>
      </c>
      <c r="N39" s="39" t="inlineStr"/>
    </row>
    <row r="40">
      <c r="A40" s="30" t="n">
        <v>36</v>
      </c>
      <c r="B40" s="31" t="inlineStr">
        <is>
          <t>مساعد صحي</t>
        </is>
      </c>
      <c r="C40" s="5" t="inlineStr">
        <is>
          <t>مساعد صحي / فني رعاية مرضى</t>
        </is>
      </c>
      <c r="D40" s="32" t="n">
        <v>18</v>
      </c>
      <c r="E40" s="32" t="n">
        <v>36</v>
      </c>
      <c r="F40" s="32" t="n">
        <v>72</v>
      </c>
      <c r="G40" s="32" t="n">
        <v>108</v>
      </c>
      <c r="H40" s="33">
        <f>IF(RMODE="تقريب لأعلى",ROUNDUP(M40,0),ROUND(M40,0))</f>
        <v/>
      </c>
      <c r="I40" s="34" t="n"/>
      <c r="J40" s="35">
        <f>I40-H40</f>
        <v/>
      </c>
      <c r="K40" s="36">
        <f>IF(H40=0,"",I40/H40)</f>
        <v/>
      </c>
      <c r="L40" s="37">
        <f>IF(H40=0,"لا ينطبق",IF(I40&gt;=H40,"مكتمل",IF(I40=0,"لا يوجد","عجز")))</f>
        <v/>
      </c>
      <c r="M40" s="38">
        <f>IF(CAP&lt;=$D$4,D40*CAP/$D$4,IF(CAP&gt;=$G$4,G40*CAP/$G$4,INDEX($D40:$G40,$D$3)+$E$3*(INDEX($D40:$G40,$D$3+1)-INDEX($D40:$G40,$D$3))))</f>
        <v/>
      </c>
      <c r="N40" s="39" t="inlineStr"/>
    </row>
    <row r="41">
      <c r="A41" s="30" t="n">
        <v>37</v>
      </c>
      <c r="B41" s="31" t="inlineStr">
        <is>
          <t>مساعد صحي</t>
        </is>
      </c>
      <c r="C41" s="5" t="inlineStr">
        <is>
          <t>مسعف</t>
        </is>
      </c>
      <c r="D41" s="32" t="n">
        <v>6</v>
      </c>
      <c r="E41" s="32" t="n">
        <v>12</v>
      </c>
      <c r="F41" s="32" t="n">
        <v>24</v>
      </c>
      <c r="G41" s="32" t="n">
        <v>36</v>
      </c>
      <c r="H41" s="33">
        <f>IF(RMODE="تقريب لأعلى",ROUNDUP(M41,0),ROUND(M41,0))</f>
        <v/>
      </c>
      <c r="I41" s="34" t="n"/>
      <c r="J41" s="35">
        <f>I41-H41</f>
        <v/>
      </c>
      <c r="K41" s="36">
        <f>IF(H41=0,"",I41/H41)</f>
        <v/>
      </c>
      <c r="L41" s="37">
        <f>IF(H41=0,"لا ينطبق",IF(I41&gt;=H41,"مكتمل",IF(I41=0,"لا يوجد","عجز")))</f>
        <v/>
      </c>
      <c r="M41" s="38">
        <f>IF(CAP&lt;=$D$4,D41*CAP/$D$4,IF(CAP&gt;=$G$4,G41*CAP/$G$4,INDEX($D41:$G41,$D$3)+$E$3*(INDEX($D41:$G41,$D$3+1)-INDEX($D41:$G41,$D$3))))</f>
        <v/>
      </c>
      <c r="N41" s="39" t="inlineStr"/>
    </row>
    <row r="42">
      <c r="A42" s="30" t="n">
        <v>38</v>
      </c>
      <c r="B42" s="31" t="inlineStr">
        <is>
          <t>مساعد صحي</t>
        </is>
      </c>
      <c r="C42" s="5" t="inlineStr">
        <is>
          <t>مسعف (سائق)</t>
        </is>
      </c>
      <c r="D42" s="32" t="n">
        <v>6</v>
      </c>
      <c r="E42" s="32" t="n">
        <v>12</v>
      </c>
      <c r="F42" s="32" t="n">
        <v>24</v>
      </c>
      <c r="G42" s="32" t="n">
        <v>36</v>
      </c>
      <c r="H42" s="33">
        <f>IF(RMODE="تقريب لأعلى",ROUNDUP(M42,0),ROUND(M42,0))</f>
        <v/>
      </c>
      <c r="I42" s="34" t="n"/>
      <c r="J42" s="35">
        <f>I42-H42</f>
        <v/>
      </c>
      <c r="K42" s="36">
        <f>IF(H42=0,"",I42/H42)</f>
        <v/>
      </c>
      <c r="L42" s="37">
        <f>IF(H42=0,"لا ينطبق",IF(I42&gt;=H42,"مكتمل",IF(I42=0,"لا يوجد","عجز")))</f>
        <v/>
      </c>
      <c r="M42" s="38">
        <f>IF(CAP&lt;=$D$4,D42*CAP/$D$4,IF(CAP&gt;=$G$4,G42*CAP/$G$4,INDEX($D42:$G42,$D$3)+$E$3*(INDEX($D42:$G42,$D$3+1)-INDEX($D42:$G42,$D$3))))</f>
        <v/>
      </c>
      <c r="N42" s="39" t="inlineStr"/>
    </row>
    <row r="43">
      <c r="A43" s="30" t="n">
        <v>39</v>
      </c>
      <c r="B43" s="31" t="inlineStr">
        <is>
          <t>مساعد صحي</t>
        </is>
      </c>
      <c r="C43" s="5" t="inlineStr">
        <is>
          <t>مساعد صحي سحب دم</t>
        </is>
      </c>
      <c r="D43" s="32" t="n">
        <v>2</v>
      </c>
      <c r="E43" s="32" t="n">
        <v>4</v>
      </c>
      <c r="F43" s="32" t="n">
        <v>8</v>
      </c>
      <c r="G43" s="32" t="n">
        <v>12</v>
      </c>
      <c r="H43" s="33">
        <f>IF(RMODE="تقريب لأعلى",ROUNDUP(M43,0),ROUND(M43,0))</f>
        <v/>
      </c>
      <c r="I43" s="34" t="n"/>
      <c r="J43" s="35">
        <f>I43-H43</f>
        <v/>
      </c>
      <c r="K43" s="36">
        <f>IF(H43=0,"",I43/H43)</f>
        <v/>
      </c>
      <c r="L43" s="37">
        <f>IF(H43=0,"لا ينطبق",IF(I43&gt;=H43,"مكتمل",IF(I43=0,"لا يوجد","عجز")))</f>
        <v/>
      </c>
      <c r="M43" s="38">
        <f>IF(CAP&lt;=$D$4,D43*CAP/$D$4,IF(CAP&gt;=$G$4,G43*CAP/$G$4,INDEX($D43:$G43,$D$3)+$E$3*(INDEX($D43:$G43,$D$3+1)-INDEX($D43:$G43,$D$3))))</f>
        <v/>
      </c>
      <c r="N43" s="39" t="inlineStr"/>
    </row>
    <row r="44">
      <c r="A44" s="30" t="n">
        <v>40</v>
      </c>
      <c r="B44" s="31" t="inlineStr">
        <is>
          <t>صيدلي</t>
        </is>
      </c>
      <c r="C44" s="5" t="inlineStr">
        <is>
          <t>صيدلي استشاري</t>
        </is>
      </c>
      <c r="D44" s="32" t="n">
        <v>1</v>
      </c>
      <c r="E44" s="32" t="n">
        <v>2</v>
      </c>
      <c r="F44" s="32" t="n">
        <v>4</v>
      </c>
      <c r="G44" s="32" t="n">
        <v>6</v>
      </c>
      <c r="H44" s="33">
        <f>IF(RMODE="تقريب لأعلى",ROUNDUP(M44,0),ROUND(M44,0))</f>
        <v/>
      </c>
      <c r="I44" s="34" t="n"/>
      <c r="J44" s="35">
        <f>I44-H44</f>
        <v/>
      </c>
      <c r="K44" s="36">
        <f>IF(H44=0,"",I44/H44)</f>
        <v/>
      </c>
      <c r="L44" s="37">
        <f>IF(H44=0,"لا ينطبق",IF(I44&gt;=H44,"مكتمل",IF(I44=0,"لا يوجد","عجز")))</f>
        <v/>
      </c>
      <c r="M44" s="38">
        <f>IF(CAP&lt;=$D$4,D44*CAP/$D$4,IF(CAP&gt;=$G$4,G44*CAP/$G$4,INDEX($D44:$G44,$D$3)+$E$3*(INDEX($D44:$G44,$D$3+1)-INDEX($D44:$G44,$D$3))))</f>
        <v/>
      </c>
      <c r="N44" s="39" t="inlineStr"/>
    </row>
    <row r="45">
      <c r="A45" s="30" t="n">
        <v>41</v>
      </c>
      <c r="B45" s="31" t="inlineStr">
        <is>
          <t>صيدلي</t>
        </is>
      </c>
      <c r="C45" s="5" t="inlineStr">
        <is>
          <t>صيدلي أول</t>
        </is>
      </c>
      <c r="D45" s="32" t="n">
        <v>2</v>
      </c>
      <c r="E45" s="32" t="n">
        <v>4</v>
      </c>
      <c r="F45" s="32" t="n">
        <v>8</v>
      </c>
      <c r="G45" s="32" t="n">
        <v>12</v>
      </c>
      <c r="H45" s="33">
        <f>IF(RMODE="تقريب لأعلى",ROUNDUP(M45,0),ROUND(M45,0))</f>
        <v/>
      </c>
      <c r="I45" s="34" t="n"/>
      <c r="J45" s="35">
        <f>I45-H45</f>
        <v/>
      </c>
      <c r="K45" s="36">
        <f>IF(H45=0,"",I45/H45)</f>
        <v/>
      </c>
      <c r="L45" s="37">
        <f>IF(H45=0,"لا ينطبق",IF(I45&gt;=H45,"مكتمل",IF(I45=0,"لا يوجد","عجز")))</f>
        <v/>
      </c>
      <c r="M45" s="38">
        <f>IF(CAP&lt;=$D$4,D45*CAP/$D$4,IF(CAP&gt;=$G$4,G45*CAP/$G$4,INDEX($D45:$G45,$D$3)+$E$3*(INDEX($D45:$G45,$D$3+1)-INDEX($D45:$G45,$D$3))))</f>
        <v/>
      </c>
      <c r="N45" s="39" t="inlineStr"/>
    </row>
    <row r="46">
      <c r="A46" s="30" t="n">
        <v>42</v>
      </c>
      <c r="B46" s="31" t="inlineStr">
        <is>
          <t>صيدلي</t>
        </is>
      </c>
      <c r="C46" s="5" t="inlineStr">
        <is>
          <t>صيدلي</t>
        </is>
      </c>
      <c r="D46" s="32" t="n">
        <v>6</v>
      </c>
      <c r="E46" s="32" t="n">
        <v>12</v>
      </c>
      <c r="F46" s="32" t="n">
        <v>24</v>
      </c>
      <c r="G46" s="32" t="n">
        <v>36</v>
      </c>
      <c r="H46" s="33">
        <f>IF(RMODE="تقريب لأعلى",ROUNDUP(M46,0),ROUND(M46,0))</f>
        <v/>
      </c>
      <c r="I46" s="34" t="n"/>
      <c r="J46" s="35">
        <f>I46-H46</f>
        <v/>
      </c>
      <c r="K46" s="36">
        <f>IF(H46=0,"",I46/H46)</f>
        <v/>
      </c>
      <c r="L46" s="37">
        <f>IF(H46=0,"لا ينطبق",IF(I46&gt;=H46,"مكتمل",IF(I46=0,"لا يوجد","عجز")))</f>
        <v/>
      </c>
      <c r="M46" s="38">
        <f>IF(CAP&lt;=$D$4,D46*CAP/$D$4,IF(CAP&gt;=$G$4,G46*CAP/$G$4,INDEX($D46:$G46,$D$3)+$E$3*(INDEX($D46:$G46,$D$3+1)-INDEX($D46:$G46,$D$3))))</f>
        <v/>
      </c>
      <c r="N46" s="39" t="inlineStr"/>
    </row>
    <row r="47">
      <c r="A47" s="30" t="n">
        <v>43</v>
      </c>
      <c r="B47" s="31" t="inlineStr">
        <is>
          <t>صيدلي</t>
        </is>
      </c>
      <c r="C47" s="5" t="inlineStr">
        <is>
          <t>مساعد صيدلي</t>
        </is>
      </c>
      <c r="D47" s="32" t="n">
        <v>4</v>
      </c>
      <c r="E47" s="32" t="n">
        <v>8</v>
      </c>
      <c r="F47" s="32" t="n">
        <v>16</v>
      </c>
      <c r="G47" s="32" t="n">
        <v>24</v>
      </c>
      <c r="H47" s="33">
        <f>IF(RMODE="تقريب لأعلى",ROUNDUP(M47,0),ROUND(M47,0))</f>
        <v/>
      </c>
      <c r="I47" s="34" t="n"/>
      <c r="J47" s="35">
        <f>I47-H47</f>
        <v/>
      </c>
      <c r="K47" s="36">
        <f>IF(H47=0,"",I47/H47)</f>
        <v/>
      </c>
      <c r="L47" s="37">
        <f>IF(H47=0,"لا ينطبق",IF(I47&gt;=H47,"مكتمل",IF(I47=0,"لا يوجد","عجز")))</f>
        <v/>
      </c>
      <c r="M47" s="38">
        <f>IF(CAP&lt;=$D$4,D47*CAP/$D$4,IF(CAP&gt;=$G$4,G47*CAP/$G$4,INDEX($D47:$G47,$D$3)+$E$3*(INDEX($D47:$G47,$D$3+1)-INDEX($D47:$G47,$D$3))))</f>
        <v/>
      </c>
      <c r="N47" s="39" t="inlineStr"/>
    </row>
    <row r="48">
      <c r="A48" s="30" t="n">
        <v>44</v>
      </c>
      <c r="B48" s="31" t="inlineStr">
        <is>
          <t>أخصائي غير طبيب</t>
        </is>
      </c>
      <c r="C48" s="5" t="inlineStr">
        <is>
          <t>أخصائي معلوماتية صحية</t>
        </is>
      </c>
      <c r="D48" s="32" t="n">
        <v>2</v>
      </c>
      <c r="E48" s="32" t="n">
        <v>4</v>
      </c>
      <c r="F48" s="32" t="n">
        <v>8</v>
      </c>
      <c r="G48" s="32" t="n">
        <v>12</v>
      </c>
      <c r="H48" s="33">
        <f>IF(RMODE="تقريب لأعلى",ROUNDUP(M48,0),ROUND(M48,0))</f>
        <v/>
      </c>
      <c r="I48" s="34" t="n"/>
      <c r="J48" s="35">
        <f>I48-H48</f>
        <v/>
      </c>
      <c r="K48" s="36">
        <f>IF(H48=0,"",I48/H48)</f>
        <v/>
      </c>
      <c r="L48" s="37">
        <f>IF(H48=0,"لا ينطبق",IF(I48&gt;=H48,"مكتمل",IF(I48=0,"لا يوجد","عجز")))</f>
        <v/>
      </c>
      <c r="M48" s="38">
        <f>IF(CAP&lt;=$D$4,D48*CAP/$D$4,IF(CAP&gt;=$G$4,G48*CAP/$G$4,INDEX($D48:$G48,$D$3)+$E$3*(INDEX($D48:$G48,$D$3+1)-INDEX($D48:$G48,$D$3))))</f>
        <v/>
      </c>
      <c r="N48" s="39" t="inlineStr"/>
    </row>
    <row r="49">
      <c r="A49" s="30" t="n">
        <v>45</v>
      </c>
      <c r="B49" s="31" t="inlineStr">
        <is>
          <t>فني</t>
        </is>
      </c>
      <c r="C49" s="5" t="inlineStr">
        <is>
          <t>فني معلوماتية صحية</t>
        </is>
      </c>
      <c r="D49" s="32" t="n">
        <v>2</v>
      </c>
      <c r="E49" s="32" t="n">
        <v>4</v>
      </c>
      <c r="F49" s="32" t="n">
        <v>8</v>
      </c>
      <c r="G49" s="32" t="n">
        <v>12</v>
      </c>
      <c r="H49" s="33">
        <f>IF(RMODE="تقريب لأعلى",ROUNDUP(M49,0),ROUND(M49,0))</f>
        <v/>
      </c>
      <c r="I49" s="34" t="n"/>
      <c r="J49" s="35">
        <f>I49-H49</f>
        <v/>
      </c>
      <c r="K49" s="36">
        <f>IF(H49=0,"",I49/H49)</f>
        <v/>
      </c>
      <c r="L49" s="37">
        <f>IF(H49=0,"لا ينطبق",IF(I49&gt;=H49,"مكتمل",IF(I49=0,"لا يوجد","عجز")))</f>
        <v/>
      </c>
      <c r="M49" s="38">
        <f>IF(CAP&lt;=$D$4,D49*CAP/$D$4,IF(CAP&gt;=$G$4,G49*CAP/$G$4,INDEX($D49:$G49,$D$3)+$E$3*(INDEX($D49:$G49,$D$3+1)-INDEX($D49:$G49,$D$3))))</f>
        <v/>
      </c>
      <c r="N49" s="39" t="inlineStr"/>
    </row>
    <row r="50">
      <c r="A50" s="30" t="n">
        <v>46</v>
      </c>
      <c r="B50" s="31" t="inlineStr">
        <is>
          <t>فني</t>
        </is>
      </c>
      <c r="C50" s="5" t="inlineStr">
        <is>
          <t>فني مراقب وبائيات</t>
        </is>
      </c>
      <c r="D50" s="32" t="n">
        <v>2</v>
      </c>
      <c r="E50" s="32" t="n">
        <v>4</v>
      </c>
      <c r="F50" s="32" t="n">
        <v>8</v>
      </c>
      <c r="G50" s="32" t="n">
        <v>12</v>
      </c>
      <c r="H50" s="33">
        <f>IF(RMODE="تقريب لأعلى",ROUNDUP(M50,0),ROUND(M50,0))</f>
        <v/>
      </c>
      <c r="I50" s="34" t="n"/>
      <c r="J50" s="35">
        <f>I50-H50</f>
        <v/>
      </c>
      <c r="K50" s="36">
        <f>IF(H50=0,"",I50/H50)</f>
        <v/>
      </c>
      <c r="L50" s="37">
        <f>IF(H50=0,"لا ينطبق",IF(I50&gt;=H50,"مكتمل",IF(I50=0,"لا يوجد","عجز")))</f>
        <v/>
      </c>
      <c r="M50" s="38">
        <f>IF(CAP&lt;=$D$4,D50*CAP/$D$4,IF(CAP&gt;=$G$4,G50*CAP/$G$4,INDEX($D50:$G50,$D$3)+$E$3*(INDEX($D50:$G50,$D$3+1)-INDEX($D50:$G50,$D$3))))</f>
        <v/>
      </c>
      <c r="N50" s="39" t="inlineStr"/>
    </row>
    <row r="51">
      <c r="A51" s="30" t="n">
        <v>47</v>
      </c>
      <c r="B51" s="31" t="inlineStr">
        <is>
          <t>فني</t>
        </is>
      </c>
      <c r="C51" s="5" t="inlineStr">
        <is>
          <t>فني صحة عامة</t>
        </is>
      </c>
      <c r="D51" s="32" t="n">
        <v>1</v>
      </c>
      <c r="E51" s="32" t="n">
        <v>2</v>
      </c>
      <c r="F51" s="32" t="n">
        <v>4</v>
      </c>
      <c r="G51" s="32" t="n">
        <v>6</v>
      </c>
      <c r="H51" s="33">
        <f>IF(RMODE="تقريب لأعلى",ROUNDUP(M51,0),ROUND(M51,0))</f>
        <v/>
      </c>
      <c r="I51" s="34" t="n"/>
      <c r="J51" s="35">
        <f>I51-H51</f>
        <v/>
      </c>
      <c r="K51" s="36">
        <f>IF(H51=0,"",I51/H51)</f>
        <v/>
      </c>
      <c r="L51" s="37">
        <f>IF(H51=0,"لا ينطبق",IF(I51&gt;=H51,"مكتمل",IF(I51=0,"لا يوجد","عجز")))</f>
        <v/>
      </c>
      <c r="M51" s="38">
        <f>IF(CAP&lt;=$D$4,D51*CAP/$D$4,IF(CAP&gt;=$G$4,G51*CAP/$G$4,INDEX($D51:$G51,$D$3)+$E$3*(INDEX($D51:$G51,$D$3+1)-INDEX($D51:$G51,$D$3))))</f>
        <v/>
      </c>
      <c r="N51" s="39" t="inlineStr"/>
    </row>
    <row r="52">
      <c r="A52" s="30" t="n">
        <v>48</v>
      </c>
      <c r="B52" s="31" t="inlineStr">
        <is>
          <t>أخصائي غير طبيب</t>
        </is>
      </c>
      <c r="C52" s="5" t="inlineStr">
        <is>
          <t>أخصائي تغذية</t>
        </is>
      </c>
      <c r="D52" s="32" t="n">
        <v>2</v>
      </c>
      <c r="E52" s="32" t="n">
        <v>4</v>
      </c>
      <c r="F52" s="32" t="n">
        <v>8</v>
      </c>
      <c r="G52" s="32" t="n">
        <v>12</v>
      </c>
      <c r="H52" s="33">
        <f>IF(RMODE="تقريب لأعلى",ROUNDUP(M52,0),ROUND(M52,0))</f>
        <v/>
      </c>
      <c r="I52" s="34" t="n"/>
      <c r="J52" s="35">
        <f>I52-H52</f>
        <v/>
      </c>
      <c r="K52" s="36">
        <f>IF(H52=0,"",I52/H52)</f>
        <v/>
      </c>
      <c r="L52" s="37">
        <f>IF(H52=0,"لا ينطبق",IF(I52&gt;=H52,"مكتمل",IF(I52=0,"لا يوجد","عجز")))</f>
        <v/>
      </c>
      <c r="M52" s="38">
        <f>IF(CAP&lt;=$D$4,D52*CAP/$D$4,IF(CAP&gt;=$G$4,G52*CAP/$G$4,INDEX($D52:$G52,$D$3)+$E$3*(INDEX($D52:$G52,$D$3+1)-INDEX($D52:$G52,$D$3))))</f>
        <v/>
      </c>
      <c r="N52" s="39" t="inlineStr"/>
    </row>
    <row r="53">
      <c r="A53" s="30" t="n">
        <v>49</v>
      </c>
      <c r="B53" s="31" t="inlineStr">
        <is>
          <t>أخصائي غير طبيب</t>
        </is>
      </c>
      <c r="C53" s="5" t="inlineStr">
        <is>
          <t>أخصائي تغذية علاجية</t>
        </is>
      </c>
      <c r="D53" s="32" t="n">
        <v>3</v>
      </c>
      <c r="E53" s="32" t="n">
        <v>6</v>
      </c>
      <c r="F53" s="32" t="n">
        <v>12</v>
      </c>
      <c r="G53" s="32" t="n">
        <v>18</v>
      </c>
      <c r="H53" s="33">
        <f>IF(RMODE="تقريب لأعلى",ROUNDUP(M53,0),ROUND(M53,0))</f>
        <v/>
      </c>
      <c r="I53" s="34" t="n"/>
      <c r="J53" s="35">
        <f>I53-H53</f>
        <v/>
      </c>
      <c r="K53" s="36">
        <f>IF(H53=0,"",I53/H53)</f>
        <v/>
      </c>
      <c r="L53" s="37">
        <f>IF(H53=0,"لا ينطبق",IF(I53&gt;=H53,"مكتمل",IF(I53=0,"لا يوجد","عجز")))</f>
        <v/>
      </c>
      <c r="M53" s="38">
        <f>IF(CAP&lt;=$D$4,D53*CAP/$D$4,IF(CAP&gt;=$G$4,G53*CAP/$G$4,INDEX($D53:$G53,$D$3)+$E$3*(INDEX($D53:$G53,$D$3+1)-INDEX($D53:$G53,$D$3))))</f>
        <v/>
      </c>
      <c r="N53" s="39" t="inlineStr"/>
    </row>
    <row r="54">
      <c r="A54" s="30" t="n">
        <v>50</v>
      </c>
      <c r="B54" s="31" t="inlineStr">
        <is>
          <t>فني</t>
        </is>
      </c>
      <c r="C54" s="5" t="inlineStr">
        <is>
          <t>فني تغذية</t>
        </is>
      </c>
      <c r="D54" s="32" t="n">
        <v>3</v>
      </c>
      <c r="E54" s="32" t="n">
        <v>6</v>
      </c>
      <c r="F54" s="32" t="n">
        <v>12</v>
      </c>
      <c r="G54" s="32" t="n">
        <v>18</v>
      </c>
      <c r="H54" s="33">
        <f>IF(RMODE="تقريب لأعلى",ROUNDUP(M54,0),ROUND(M54,0))</f>
        <v/>
      </c>
      <c r="I54" s="34" t="n"/>
      <c r="J54" s="35">
        <f>I54-H54</f>
        <v/>
      </c>
      <c r="K54" s="36">
        <f>IF(H54=0,"",I54/H54)</f>
        <v/>
      </c>
      <c r="L54" s="37">
        <f>IF(H54=0,"لا ينطبق",IF(I54&gt;=H54,"مكتمل",IF(I54=0,"لا يوجد","عجز")))</f>
        <v/>
      </c>
      <c r="M54" s="38">
        <f>IF(CAP&lt;=$D$4,D54*CAP/$D$4,IF(CAP&gt;=$G$4,G54*CAP/$G$4,INDEX($D54:$G54,$D$3)+$E$3*(INDEX($D54:$G54,$D$3+1)-INDEX($D54:$G54,$D$3))))</f>
        <v/>
      </c>
      <c r="N54" s="39" t="inlineStr"/>
    </row>
    <row r="55">
      <c r="A55" s="30" t="n">
        <v>51</v>
      </c>
      <c r="B55" s="31" t="inlineStr">
        <is>
          <t>فني</t>
        </is>
      </c>
      <c r="C55" s="5" t="inlineStr">
        <is>
          <t>فني تثقيف صحي</t>
        </is>
      </c>
      <c r="D55" s="32" t="n">
        <v>1</v>
      </c>
      <c r="E55" s="32" t="n">
        <v>2</v>
      </c>
      <c r="F55" s="32" t="n">
        <v>4</v>
      </c>
      <c r="G55" s="32" t="n">
        <v>6</v>
      </c>
      <c r="H55" s="33">
        <f>IF(RMODE="تقريب لأعلى",ROUNDUP(M55,0),ROUND(M55,0))</f>
        <v/>
      </c>
      <c r="I55" s="34" t="n"/>
      <c r="J55" s="35">
        <f>I55-H55</f>
        <v/>
      </c>
      <c r="K55" s="36">
        <f>IF(H55=0,"",I55/H55)</f>
        <v/>
      </c>
      <c r="L55" s="37">
        <f>IF(H55=0,"لا ينطبق",IF(I55&gt;=H55,"مكتمل",IF(I55=0,"لا يوجد","عجز")))</f>
        <v/>
      </c>
      <c r="M55" s="38">
        <f>IF(CAP&lt;=$D$4,D55*CAP/$D$4,IF(CAP&gt;=$G$4,G55*CAP/$G$4,INDEX($D55:$G55,$D$3)+$E$3*(INDEX($D55:$G55,$D$3+1)-INDEX($D55:$G55,$D$3))))</f>
        <v/>
      </c>
      <c r="N55" s="39" t="inlineStr"/>
    </row>
    <row r="56">
      <c r="A56" s="30" t="n">
        <v>52</v>
      </c>
      <c r="B56" s="31" t="inlineStr">
        <is>
          <t>فني</t>
        </is>
      </c>
      <c r="C56" s="5" t="inlineStr">
        <is>
          <t>سكرتير طبي</t>
        </is>
      </c>
      <c r="D56" s="32" t="n">
        <v>5</v>
      </c>
      <c r="E56" s="32" t="n">
        <v>10</v>
      </c>
      <c r="F56" s="32" t="n">
        <v>20</v>
      </c>
      <c r="G56" s="32" t="n">
        <v>30</v>
      </c>
      <c r="H56" s="33">
        <f>IF(RMODE="تقريب لأعلى",ROUNDUP(M56,0),ROUND(M56,0))</f>
        <v/>
      </c>
      <c r="I56" s="34" t="n"/>
      <c r="J56" s="35">
        <f>I56-H56</f>
        <v/>
      </c>
      <c r="K56" s="36">
        <f>IF(H56=0,"",I56/H56)</f>
        <v/>
      </c>
      <c r="L56" s="37">
        <f>IF(H56=0,"لا ينطبق",IF(I56&gt;=H56,"مكتمل",IF(I56=0,"لا يوجد","عجز")))</f>
        <v/>
      </c>
      <c r="M56" s="38">
        <f>IF(CAP&lt;=$D$4,D56*CAP/$D$4,IF(CAP&gt;=$G$4,G56*CAP/$G$4,INDEX($D56:$G56,$D$3)+$E$3*(INDEX($D56:$G56,$D$3+1)-INDEX($D56:$G56,$D$3))))</f>
        <v/>
      </c>
      <c r="N56" s="39" t="inlineStr"/>
    </row>
    <row r="57">
      <c r="A57" s="30" t="n">
        <v>53</v>
      </c>
      <c r="B57" s="31" t="inlineStr">
        <is>
          <t>فني</t>
        </is>
      </c>
      <c r="C57" s="5" t="inlineStr">
        <is>
          <t>فني تخدير</t>
        </is>
      </c>
      <c r="D57" s="32" t="n">
        <v>4</v>
      </c>
      <c r="E57" s="32" t="n">
        <v>8</v>
      </c>
      <c r="F57" s="32" t="n">
        <v>16</v>
      </c>
      <c r="G57" s="32" t="n">
        <v>24</v>
      </c>
      <c r="H57" s="33">
        <f>IF(RMODE="تقريب لأعلى",ROUNDUP(M57,0),ROUND(M57,0))</f>
        <v/>
      </c>
      <c r="I57" s="34" t="n"/>
      <c r="J57" s="35">
        <f>I57-H57</f>
        <v/>
      </c>
      <c r="K57" s="36">
        <f>IF(H57=0,"",I57/H57)</f>
        <v/>
      </c>
      <c r="L57" s="37">
        <f>IF(H57=0,"لا ينطبق",IF(I57&gt;=H57,"مكتمل",IF(I57=0,"لا يوجد","عجز")))</f>
        <v/>
      </c>
      <c r="M57" s="38">
        <f>IF(CAP&lt;=$D$4,D57*CAP/$D$4,IF(CAP&gt;=$G$4,G57*CAP/$G$4,INDEX($D57:$G57,$D$3)+$E$3*(INDEX($D57:$G57,$D$3+1)-INDEX($D57:$G57,$D$3))))</f>
        <v/>
      </c>
      <c r="N57" s="39" t="inlineStr"/>
    </row>
    <row r="58">
      <c r="A58" s="30" t="n">
        <v>54</v>
      </c>
      <c r="B58" s="31" t="inlineStr">
        <is>
          <t>أخصائي غير طبيب</t>
        </is>
      </c>
      <c r="C58" s="5" t="inlineStr">
        <is>
          <t>أخصائي أشعة عامة</t>
        </is>
      </c>
      <c r="D58" s="32" t="n">
        <v>2</v>
      </c>
      <c r="E58" s="32" t="n">
        <v>4</v>
      </c>
      <c r="F58" s="32" t="n">
        <v>8</v>
      </c>
      <c r="G58" s="32" t="n">
        <v>12</v>
      </c>
      <c r="H58" s="33">
        <f>IF(RMODE="تقريب لأعلى",ROUNDUP(M58,0),ROUND(M58,0))</f>
        <v/>
      </c>
      <c r="I58" s="34" t="n"/>
      <c r="J58" s="35">
        <f>I58-H58</f>
        <v/>
      </c>
      <c r="K58" s="36">
        <f>IF(H58=0,"",I58/H58)</f>
        <v/>
      </c>
      <c r="L58" s="37">
        <f>IF(H58=0,"لا ينطبق",IF(I58&gt;=H58,"مكتمل",IF(I58=0,"لا يوجد","عجز")))</f>
        <v/>
      </c>
      <c r="M58" s="38">
        <f>IF(CAP&lt;=$D$4,D58*CAP/$D$4,IF(CAP&gt;=$G$4,G58*CAP/$G$4,INDEX($D58:$G58,$D$3)+$E$3*(INDEX($D58:$G58,$D$3+1)-INDEX($D58:$G58,$D$3))))</f>
        <v/>
      </c>
      <c r="N58" s="39" t="inlineStr"/>
    </row>
    <row r="59">
      <c r="A59" s="30" t="n">
        <v>55</v>
      </c>
      <c r="B59" s="31" t="inlineStr">
        <is>
          <t>فني</t>
        </is>
      </c>
      <c r="C59" s="5" t="inlineStr">
        <is>
          <t>فني أشعة</t>
        </is>
      </c>
      <c r="D59" s="32" t="n">
        <v>6</v>
      </c>
      <c r="E59" s="32" t="n">
        <v>12</v>
      </c>
      <c r="F59" s="32" t="n">
        <v>24</v>
      </c>
      <c r="G59" s="32" t="n">
        <v>36</v>
      </c>
      <c r="H59" s="33">
        <f>IF(RMODE="تقريب لأعلى",ROUNDUP(M59,0),ROUND(M59,0))</f>
        <v/>
      </c>
      <c r="I59" s="34" t="n"/>
      <c r="J59" s="35">
        <f>I59-H59</f>
        <v/>
      </c>
      <c r="K59" s="36">
        <f>IF(H59=0,"",I59/H59)</f>
        <v/>
      </c>
      <c r="L59" s="37">
        <f>IF(H59=0,"لا ينطبق",IF(I59&gt;=H59,"مكتمل",IF(I59=0,"لا يوجد","عجز")))</f>
        <v/>
      </c>
      <c r="M59" s="38">
        <f>IF(CAP&lt;=$D$4,D59*CAP/$D$4,IF(CAP&gt;=$G$4,G59*CAP/$G$4,INDEX($D59:$G59,$D$3)+$E$3*(INDEX($D59:$G59,$D$3+1)-INDEX($D59:$G59,$D$3))))</f>
        <v/>
      </c>
      <c r="N59" s="39" t="inlineStr"/>
    </row>
    <row r="60">
      <c r="A60" s="30" t="n">
        <v>56</v>
      </c>
      <c r="B60" s="31" t="inlineStr">
        <is>
          <t>أخصائي غير طبيب</t>
        </is>
      </c>
      <c r="C60" s="5" t="inlineStr">
        <is>
          <t>أخصائي مختبر وبنك دم</t>
        </is>
      </c>
      <c r="D60" s="32" t="n">
        <v>10</v>
      </c>
      <c r="E60" s="32" t="n">
        <v>20</v>
      </c>
      <c r="F60" s="32" t="n">
        <v>40</v>
      </c>
      <c r="G60" s="32" t="n">
        <v>60</v>
      </c>
      <c r="H60" s="33">
        <f>IF(RMODE="تقريب لأعلى",ROUNDUP(M60,0),ROUND(M60,0))</f>
        <v/>
      </c>
      <c r="I60" s="34" t="n"/>
      <c r="J60" s="35">
        <f>I60-H60</f>
        <v/>
      </c>
      <c r="K60" s="36">
        <f>IF(H60=0,"",I60/H60)</f>
        <v/>
      </c>
      <c r="L60" s="37">
        <f>IF(H60=0,"لا ينطبق",IF(I60&gt;=H60,"مكتمل",IF(I60=0,"لا يوجد","عجز")))</f>
        <v/>
      </c>
      <c r="M60" s="38">
        <f>IF(CAP&lt;=$D$4,D60*CAP/$D$4,IF(CAP&gt;=$G$4,G60*CAP/$G$4,INDEX($D60:$G60,$D$3)+$E$3*(INDEX($D60:$G60,$D$3+1)-INDEX($D60:$G60,$D$3))))</f>
        <v/>
      </c>
      <c r="N60" s="39" t="inlineStr"/>
    </row>
    <row r="61">
      <c r="A61" s="30" t="n">
        <v>57</v>
      </c>
      <c r="B61" s="31" t="inlineStr">
        <is>
          <t>فني</t>
        </is>
      </c>
      <c r="C61" s="5" t="inlineStr">
        <is>
          <t>فني مختبر وبنك دم</t>
        </is>
      </c>
      <c r="D61" s="32" t="n">
        <v>9</v>
      </c>
      <c r="E61" s="32" t="n">
        <v>18</v>
      </c>
      <c r="F61" s="32" t="n">
        <v>36</v>
      </c>
      <c r="G61" s="32" t="n">
        <v>54</v>
      </c>
      <c r="H61" s="33">
        <f>IF(RMODE="تقريب لأعلى",ROUNDUP(M61,0),ROUND(M61,0))</f>
        <v/>
      </c>
      <c r="I61" s="34" t="n"/>
      <c r="J61" s="35">
        <f>I61-H61</f>
        <v/>
      </c>
      <c r="K61" s="36">
        <f>IF(H61=0,"",I61/H61)</f>
        <v/>
      </c>
      <c r="L61" s="37">
        <f>IF(H61=0,"لا ينطبق",IF(I61&gt;=H61,"مكتمل",IF(I61=0,"لا يوجد","عجز")))</f>
        <v/>
      </c>
      <c r="M61" s="38">
        <f>IF(CAP&lt;=$D$4,D61*CAP/$D$4,IF(CAP&gt;=$G$4,G61*CAP/$G$4,INDEX($D61:$G61,$D$3)+$E$3*(INDEX($D61:$G61,$D$3+1)-INDEX($D61:$G61,$D$3))))</f>
        <v/>
      </c>
      <c r="N61" s="39" t="inlineStr"/>
    </row>
    <row r="62">
      <c r="A62" s="30" t="n">
        <v>58</v>
      </c>
      <c r="B62" s="31" t="inlineStr">
        <is>
          <t>أخصائي غير طبيب</t>
        </is>
      </c>
      <c r="C62" s="5" t="inlineStr">
        <is>
          <t>أخصائي علاج طبيعي</t>
        </is>
      </c>
      <c r="D62" s="32" t="n">
        <v>4</v>
      </c>
      <c r="E62" s="32" t="n">
        <v>8</v>
      </c>
      <c r="F62" s="32" t="n">
        <v>16</v>
      </c>
      <c r="G62" s="32" t="n">
        <v>24</v>
      </c>
      <c r="H62" s="33">
        <f>IF(RMODE="تقريب لأعلى",ROUNDUP(M62,0),ROUND(M62,0))</f>
        <v/>
      </c>
      <c r="I62" s="34" t="n"/>
      <c r="J62" s="35">
        <f>I62-H62</f>
        <v/>
      </c>
      <c r="K62" s="36">
        <f>IF(H62=0,"",I62/H62)</f>
        <v/>
      </c>
      <c r="L62" s="37">
        <f>IF(H62=0,"لا ينطبق",IF(I62&gt;=H62,"مكتمل",IF(I62=0,"لا يوجد","عجز")))</f>
        <v/>
      </c>
      <c r="M62" s="38">
        <f>IF(CAP&lt;=$D$4,D62*CAP/$D$4,IF(CAP&gt;=$G$4,G62*CAP/$G$4,INDEX($D62:$G62,$D$3)+$E$3*(INDEX($D62:$G62,$D$3+1)-INDEX($D62:$G62,$D$3))))</f>
        <v/>
      </c>
      <c r="N62" s="39" t="inlineStr"/>
    </row>
    <row r="63">
      <c r="A63" s="30" t="n">
        <v>59</v>
      </c>
      <c r="B63" s="31" t="inlineStr">
        <is>
          <t>فني</t>
        </is>
      </c>
      <c r="C63" s="5" t="inlineStr">
        <is>
          <t>فني علاج طبيعي</t>
        </is>
      </c>
      <c r="D63" s="32" t="n">
        <v>8</v>
      </c>
      <c r="E63" s="32" t="n">
        <v>16</v>
      </c>
      <c r="F63" s="32" t="n">
        <v>32</v>
      </c>
      <c r="G63" s="32" t="n">
        <v>48</v>
      </c>
      <c r="H63" s="33">
        <f>IF(RMODE="تقريب لأعلى",ROUNDUP(M63,0),ROUND(M63,0))</f>
        <v/>
      </c>
      <c r="I63" s="34" t="n"/>
      <c r="J63" s="35">
        <f>I63-H63</f>
        <v/>
      </c>
      <c r="K63" s="36">
        <f>IF(H63=0,"",I63/H63)</f>
        <v/>
      </c>
      <c r="L63" s="37">
        <f>IF(H63=0,"لا ينطبق",IF(I63&gt;=H63,"مكتمل",IF(I63=0,"لا يوجد","عجز")))</f>
        <v/>
      </c>
      <c r="M63" s="38">
        <f>IF(CAP&lt;=$D$4,D63*CAP/$D$4,IF(CAP&gt;=$G$4,G63*CAP/$G$4,INDEX($D63:$G63,$D$3)+$E$3*(INDEX($D63:$G63,$D$3+1)-INDEX($D63:$G63,$D$3))))</f>
        <v/>
      </c>
      <c r="N63" s="39" t="inlineStr"/>
    </row>
    <row r="64">
      <c r="A64" s="30" t="n">
        <v>60</v>
      </c>
      <c r="B64" s="31" t="inlineStr">
        <is>
          <t>أخصائي غير طبيب</t>
        </is>
      </c>
      <c r="C64" s="5" t="inlineStr">
        <is>
          <t>أخصائي بصريات</t>
        </is>
      </c>
      <c r="D64" s="32" t="n">
        <v>0</v>
      </c>
      <c r="E64" s="32" t="n">
        <v>0</v>
      </c>
      <c r="F64" s="32" t="n">
        <v>0</v>
      </c>
      <c r="G64" s="32" t="n">
        <v>0</v>
      </c>
      <c r="H64" s="33">
        <f>IF(RMODE="تقريب لأعلى",ROUNDUP(M64,0),ROUND(M64,0))</f>
        <v/>
      </c>
      <c r="I64" s="34" t="n"/>
      <c r="J64" s="35">
        <f>I64-H64</f>
        <v/>
      </c>
      <c r="K64" s="36">
        <f>IF(H64=0,"",I64/H64)</f>
        <v/>
      </c>
      <c r="L64" s="37">
        <f>IF(H64=0,"لا ينطبق",IF(I64&gt;=H64,"مكتمل",IF(I64=0,"لا يوجد","عجز")))</f>
        <v/>
      </c>
      <c r="M64" s="38">
        <f>IF(CAP&lt;=$D$4,D64*CAP/$D$4,IF(CAP&gt;=$G$4,G64*CAP/$G$4,INDEX($D64:$G64,$D$3)+$E$3*(INDEX($D64:$G64,$D$3+1)-INDEX($D64:$G64,$D$3))))</f>
        <v/>
      </c>
      <c r="N64" s="39" t="inlineStr"/>
    </row>
    <row r="65">
      <c r="A65" s="30" t="n">
        <v>61</v>
      </c>
      <c r="B65" s="31" t="inlineStr">
        <is>
          <t>أخصائي غير طبيب</t>
        </is>
      </c>
      <c r="C65" s="5" t="inlineStr">
        <is>
          <t>أخصائي أجهزة طبية</t>
        </is>
      </c>
      <c r="D65" s="32" t="n">
        <v>1</v>
      </c>
      <c r="E65" s="32" t="n">
        <v>2</v>
      </c>
      <c r="F65" s="32" t="n">
        <v>4</v>
      </c>
      <c r="G65" s="32" t="n">
        <v>6</v>
      </c>
      <c r="H65" s="33">
        <f>IF(RMODE="تقريب لأعلى",ROUNDUP(M65,0),ROUND(M65,0))</f>
        <v/>
      </c>
      <c r="I65" s="34" t="n"/>
      <c r="J65" s="35">
        <f>I65-H65</f>
        <v/>
      </c>
      <c r="K65" s="36">
        <f>IF(H65=0,"",I65/H65)</f>
        <v/>
      </c>
      <c r="L65" s="37">
        <f>IF(H65=0,"لا ينطبق",IF(I65&gt;=H65,"مكتمل",IF(I65=0,"لا يوجد","عجز")))</f>
        <v/>
      </c>
      <c r="M65" s="38">
        <f>IF(CAP&lt;=$D$4,D65*CAP/$D$4,IF(CAP&gt;=$G$4,G65*CAP/$G$4,INDEX($D65:$G65,$D$3)+$E$3*(INDEX($D65:$G65,$D$3+1)-INDEX($D65:$G65,$D$3))))</f>
        <v/>
      </c>
      <c r="N65" s="39" t="inlineStr"/>
    </row>
    <row r="66">
      <c r="A66" s="30" t="n">
        <v>62</v>
      </c>
      <c r="B66" s="31" t="inlineStr">
        <is>
          <t>أخصائي غير طبيب</t>
        </is>
      </c>
      <c r="C66" s="5" t="inlineStr">
        <is>
          <t>أخصائي اجتماعي</t>
        </is>
      </c>
      <c r="D66" s="32" t="n">
        <v>3</v>
      </c>
      <c r="E66" s="32" t="n">
        <v>6</v>
      </c>
      <c r="F66" s="32" t="n">
        <v>12</v>
      </c>
      <c r="G66" s="32" t="n">
        <v>18</v>
      </c>
      <c r="H66" s="33">
        <f>IF(RMODE="تقريب لأعلى",ROUNDUP(M66,0),ROUND(M66,0))</f>
        <v/>
      </c>
      <c r="I66" s="34" t="n"/>
      <c r="J66" s="35">
        <f>I66-H66</f>
        <v/>
      </c>
      <c r="K66" s="36">
        <f>IF(H66=0,"",I66/H66)</f>
        <v/>
      </c>
      <c r="L66" s="37">
        <f>IF(H66=0,"لا ينطبق",IF(I66&gt;=H66,"مكتمل",IF(I66=0,"لا يوجد","عجز")))</f>
        <v/>
      </c>
      <c r="M66" s="38">
        <f>IF(CAP&lt;=$D$4,D66*CAP/$D$4,IF(CAP&gt;=$G$4,G66*CAP/$G$4,INDEX($D66:$G66,$D$3)+$E$3*(INDEX($D66:$G66,$D$3+1)-INDEX($D66:$G66,$D$3))))</f>
        <v/>
      </c>
      <c r="N66" s="39" t="inlineStr"/>
    </row>
    <row r="67">
      <c r="A67" s="30" t="n">
        <v>63</v>
      </c>
      <c r="B67" s="31" t="inlineStr">
        <is>
          <t>أخصائي غير طبيب</t>
        </is>
      </c>
      <c r="C67" s="5" t="inlineStr">
        <is>
          <t>أخصائي نفسي</t>
        </is>
      </c>
      <c r="D67" s="32" t="n">
        <v>3</v>
      </c>
      <c r="E67" s="32" t="n">
        <v>6</v>
      </c>
      <c r="F67" s="32" t="n">
        <v>12</v>
      </c>
      <c r="G67" s="32" t="n">
        <v>18</v>
      </c>
      <c r="H67" s="33">
        <f>IF(RMODE="تقريب لأعلى",ROUNDUP(M67,0),ROUND(M67,0))</f>
        <v/>
      </c>
      <c r="I67" s="34" t="n"/>
      <c r="J67" s="35">
        <f>I67-H67</f>
        <v/>
      </c>
      <c r="K67" s="36">
        <f>IF(H67=0,"",I67/H67)</f>
        <v/>
      </c>
      <c r="L67" s="37">
        <f>IF(H67=0,"لا ينطبق",IF(I67&gt;=H67,"مكتمل",IF(I67=0,"لا يوجد","عجز")))</f>
        <v/>
      </c>
      <c r="M67" s="38">
        <f>IF(CAP&lt;=$D$4,D67*CAP/$D$4,IF(CAP&gt;=$G$4,G67*CAP/$G$4,INDEX($D67:$G67,$D$3)+$E$3*(INDEX($D67:$G67,$D$3+1)-INDEX($D67:$G67,$D$3))))</f>
        <v/>
      </c>
      <c r="N67" s="39" t="inlineStr"/>
    </row>
    <row r="68">
      <c r="A68" s="30" t="n">
        <v>64</v>
      </c>
      <c r="B68" s="31" t="inlineStr">
        <is>
          <t>فني</t>
        </is>
      </c>
      <c r="C68" s="5" t="inlineStr">
        <is>
          <t>فني وفنية سجلات طبية</t>
        </is>
      </c>
      <c r="D68" s="32" t="n">
        <v>2</v>
      </c>
      <c r="E68" s="32" t="n">
        <v>4</v>
      </c>
      <c r="F68" s="32" t="n">
        <v>8</v>
      </c>
      <c r="G68" s="32" t="n">
        <v>12</v>
      </c>
      <c r="H68" s="33">
        <f>IF(RMODE="تقريب لأعلى",ROUNDUP(M68,0),ROUND(M68,0))</f>
        <v/>
      </c>
      <c r="I68" s="34" t="n"/>
      <c r="J68" s="35">
        <f>I68-H68</f>
        <v/>
      </c>
      <c r="K68" s="36">
        <f>IF(H68=0,"",I68/H68)</f>
        <v/>
      </c>
      <c r="L68" s="37">
        <f>IF(H68=0,"لا ينطبق",IF(I68&gt;=H68,"مكتمل",IF(I68=0,"لا يوجد","عجز")))</f>
        <v/>
      </c>
      <c r="M68" s="38">
        <f>IF(CAP&lt;=$D$4,D68*CAP/$D$4,IF(CAP&gt;=$G$4,G68*CAP/$G$4,INDEX($D68:$G68,$D$3)+$E$3*(INDEX($D68:$G68,$D$3+1)-INDEX($D68:$G68,$D$3))))</f>
        <v/>
      </c>
      <c r="N68" s="39" t="inlineStr"/>
    </row>
    <row r="69">
      <c r="A69" s="30" t="n">
        <v>65</v>
      </c>
      <c r="B69" s="31" t="inlineStr">
        <is>
          <t>أخصائي غير طبيب</t>
        </is>
      </c>
      <c r="C69" s="5" t="inlineStr">
        <is>
          <t>أخصائي جودة</t>
        </is>
      </c>
      <c r="D69" s="32" t="n">
        <v>1</v>
      </c>
      <c r="E69" s="32" t="n">
        <v>2</v>
      </c>
      <c r="F69" s="32" t="n">
        <v>4</v>
      </c>
      <c r="G69" s="32" t="n">
        <v>6</v>
      </c>
      <c r="H69" s="33">
        <f>IF(RMODE="تقريب لأعلى",ROUNDUP(M69,0),ROUND(M69,0))</f>
        <v/>
      </c>
      <c r="I69" s="34" t="n"/>
      <c r="J69" s="35">
        <f>I69-H69</f>
        <v/>
      </c>
      <c r="K69" s="36">
        <f>IF(H69=0,"",I69/H69)</f>
        <v/>
      </c>
      <c r="L69" s="37">
        <f>IF(H69=0,"لا ينطبق",IF(I69&gt;=H69,"مكتمل",IF(I69=0,"لا يوجد","عجز")))</f>
        <v/>
      </c>
      <c r="M69" s="38">
        <f>IF(CAP&lt;=$D$4,D69*CAP/$D$4,IF(CAP&gt;=$G$4,G69*CAP/$G$4,INDEX($D69:$G69,$D$3)+$E$3*(INDEX($D69:$G69,$D$3+1)-INDEX($D69:$G69,$D$3))))</f>
        <v/>
      </c>
      <c r="N69" s="39" t="inlineStr"/>
    </row>
    <row r="70">
      <c r="A70" s="30" t="n">
        <v>66</v>
      </c>
      <c r="B70" s="31" t="inlineStr">
        <is>
          <t>أخصائي غير طبيب</t>
        </is>
      </c>
      <c r="C70" s="5" t="inlineStr">
        <is>
          <t>أخصائي تثقيف صحي</t>
        </is>
      </c>
      <c r="D70" s="32" t="n">
        <v>1</v>
      </c>
      <c r="E70" s="32" t="n">
        <v>2</v>
      </c>
      <c r="F70" s="32" t="n">
        <v>4</v>
      </c>
      <c r="G70" s="32" t="n">
        <v>6</v>
      </c>
      <c r="H70" s="33">
        <f>IF(RMODE="تقريب لأعلى",ROUNDUP(M70,0),ROUND(M70,0))</f>
        <v/>
      </c>
      <c r="I70" s="34" t="n"/>
      <c r="J70" s="35">
        <f>I70-H70</f>
        <v/>
      </c>
      <c r="K70" s="36">
        <f>IF(H70=0,"",I70/H70)</f>
        <v/>
      </c>
      <c r="L70" s="37">
        <f>IF(H70=0,"لا ينطبق",IF(I70&gt;=H70,"مكتمل",IF(I70=0,"لا يوجد","عجز")))</f>
        <v/>
      </c>
      <c r="M70" s="38">
        <f>IF(CAP&lt;=$D$4,D70*CAP/$D$4,IF(CAP&gt;=$G$4,G70*CAP/$G$4,INDEX($D70:$G70,$D$3)+$E$3*(INDEX($D70:$G70,$D$3+1)-INDEX($D70:$G70,$D$3))))</f>
        <v/>
      </c>
      <c r="N70" s="39" t="inlineStr"/>
    </row>
    <row r="71">
      <c r="A71" s="30" t="n">
        <v>67</v>
      </c>
      <c r="B71" s="31" t="inlineStr">
        <is>
          <t>أخصائي غير طبيب</t>
        </is>
      </c>
      <c r="C71" s="5" t="inlineStr">
        <is>
          <t>أخصائي تعقيم</t>
        </is>
      </c>
      <c r="D71" s="32" t="n">
        <v>2</v>
      </c>
      <c r="E71" s="32" t="n">
        <v>4</v>
      </c>
      <c r="F71" s="32" t="n">
        <v>8</v>
      </c>
      <c r="G71" s="32" t="n">
        <v>12</v>
      </c>
      <c r="H71" s="33">
        <f>IF(RMODE="تقريب لأعلى",ROUNDUP(M71,0),ROUND(M71,0))</f>
        <v/>
      </c>
      <c r="I71" s="34" t="n"/>
      <c r="J71" s="35">
        <f>I71-H71</f>
        <v/>
      </c>
      <c r="K71" s="36">
        <f>IF(H71=0,"",I71/H71)</f>
        <v/>
      </c>
      <c r="L71" s="37">
        <f>IF(H71=0,"لا ينطبق",IF(I71&gt;=H71,"مكتمل",IF(I71=0,"لا يوجد","عجز")))</f>
        <v/>
      </c>
      <c r="M71" s="38">
        <f>IF(CAP&lt;=$D$4,D71*CAP/$D$4,IF(CAP&gt;=$G$4,G71*CAP/$G$4,INDEX($D71:$G71,$D$3)+$E$3*(INDEX($D71:$G71,$D$3+1)-INDEX($D71:$G71,$D$3))))</f>
        <v/>
      </c>
      <c r="N71" s="39" t="inlineStr"/>
    </row>
    <row r="72">
      <c r="A72" s="30" t="n">
        <v>68</v>
      </c>
      <c r="B72" s="31" t="inlineStr">
        <is>
          <t>فني</t>
        </is>
      </c>
      <c r="C72" s="5" t="inlineStr">
        <is>
          <t>مأمور ثلاجة</t>
        </is>
      </c>
      <c r="D72" s="32" t="n">
        <v>4</v>
      </c>
      <c r="E72" s="32" t="n">
        <v>8</v>
      </c>
      <c r="F72" s="32" t="n">
        <v>16</v>
      </c>
      <c r="G72" s="32" t="n">
        <v>24</v>
      </c>
      <c r="H72" s="33">
        <f>IF(RMODE="تقريب لأعلى",ROUNDUP(M72,0),ROUND(M72,0))</f>
        <v/>
      </c>
      <c r="I72" s="34" t="n"/>
      <c r="J72" s="35">
        <f>I72-H72</f>
        <v/>
      </c>
      <c r="K72" s="36">
        <f>IF(H72=0,"",I72/H72)</f>
        <v/>
      </c>
      <c r="L72" s="37">
        <f>IF(H72=0,"لا ينطبق",IF(I72&gt;=H72,"مكتمل",IF(I72=0,"لا يوجد","عجز")))</f>
        <v/>
      </c>
      <c r="M72" s="38">
        <f>IF(CAP&lt;=$D$4,D72*CAP/$D$4,IF(CAP&gt;=$G$4,G72*CAP/$G$4,INDEX($D72:$G72,$D$3)+$E$3*(INDEX($D72:$G72,$D$3+1)-INDEX($D72:$G72,$D$3))))</f>
        <v/>
      </c>
      <c r="N72" s="39" t="inlineStr">
        <is>
          <t>في حال كانت عدد العيون أقل من 20 عين — نسبة العيون للأسرة: 1 عين لكل 25 سرير</t>
        </is>
      </c>
    </row>
    <row r="73">
      <c r="A73" s="30" t="n">
        <v>69</v>
      </c>
      <c r="B73" s="31" t="inlineStr">
        <is>
          <t>فني</t>
        </is>
      </c>
      <c r="C73" s="5" t="inlineStr">
        <is>
          <t>مرمز</t>
        </is>
      </c>
      <c r="D73" s="32" t="n">
        <v>3</v>
      </c>
      <c r="E73" s="32" t="n">
        <v>6</v>
      </c>
      <c r="F73" s="32" t="n">
        <v>12</v>
      </c>
      <c r="G73" s="32" t="n">
        <v>18</v>
      </c>
      <c r="H73" s="33">
        <f>IF(RMODE="تقريب لأعلى",ROUNDUP(M73,0),ROUND(M73,0))</f>
        <v/>
      </c>
      <c r="I73" s="34" t="n"/>
      <c r="J73" s="35">
        <f>I73-H73</f>
        <v/>
      </c>
      <c r="K73" s="36">
        <f>IF(H73=0,"",I73/H73)</f>
        <v/>
      </c>
      <c r="L73" s="37">
        <f>IF(H73=0,"لا ينطبق",IF(I73&gt;=H73,"مكتمل",IF(I73=0,"لا يوجد","عجز")))</f>
        <v/>
      </c>
      <c r="M73" s="38">
        <f>IF(CAP&lt;=$D$4,D73*CAP/$D$4,IF(CAP&gt;=$G$4,G73*CAP/$G$4,INDEX($D73:$G73,$D$3)+$E$3*(INDEX($D73:$G73,$D$3+1)-INDEX($D73:$G73,$D$3))))</f>
        <v/>
      </c>
      <c r="N73" s="39" t="inlineStr"/>
    </row>
    <row r="74">
      <c r="A74" s="30" t="n">
        <v>70</v>
      </c>
      <c r="B74" s="31" t="inlineStr">
        <is>
          <t>فني</t>
        </is>
      </c>
      <c r="C74" s="5" t="inlineStr">
        <is>
          <t>مغسل</t>
        </is>
      </c>
      <c r="D74" s="32" t="n">
        <v>1</v>
      </c>
      <c r="E74" s="32" t="n">
        <v>2</v>
      </c>
      <c r="F74" s="32" t="n">
        <v>4</v>
      </c>
      <c r="G74" s="32" t="n">
        <v>6</v>
      </c>
      <c r="H74" s="33">
        <f>IF(RMODE="تقريب لأعلى",ROUNDUP(M74,0),ROUND(M74,0))</f>
        <v/>
      </c>
      <c r="I74" s="34" t="n"/>
      <c r="J74" s="35">
        <f>I74-H74</f>
        <v/>
      </c>
      <c r="K74" s="36">
        <f>IF(H74=0,"",I74/H74)</f>
        <v/>
      </c>
      <c r="L74" s="37">
        <f>IF(H74=0,"لا ينطبق",IF(I74&gt;=H74,"مكتمل",IF(I74=0,"لا يوجد","عجز")))</f>
        <v/>
      </c>
      <c r="M74" s="38">
        <f>IF(CAP&lt;=$D$4,D74*CAP/$D$4,IF(CAP&gt;=$G$4,G74*CAP/$G$4,INDEX($D74:$G74,$D$3)+$E$3*(INDEX($D74:$G74,$D$3+1)-INDEX($D74:$G74,$D$3))))</f>
        <v/>
      </c>
      <c r="N74" s="39" t="inlineStr">
        <is>
          <t>في حال وجود مغسلة للأمراض المعدية</t>
        </is>
      </c>
    </row>
    <row r="75">
      <c r="A75" s="40" t="n"/>
      <c r="B75" s="40" t="n"/>
      <c r="C75" s="40" t="inlineStr">
        <is>
          <t>المجموع (محسوب من الجدول)</t>
        </is>
      </c>
      <c r="D75" s="41">
        <f>SUM(D5:D74)</f>
        <v/>
      </c>
      <c r="E75" s="41">
        <f>SUM(E5:E74)</f>
        <v/>
      </c>
      <c r="F75" s="41">
        <f>SUM(F5:F74)</f>
        <v/>
      </c>
      <c r="G75" s="41">
        <f>SUM(G5:G74)</f>
        <v/>
      </c>
      <c r="H75" s="41">
        <f>SUM(H5:H74)</f>
        <v/>
      </c>
      <c r="I75" s="42">
        <f>SUM(I5:I74)</f>
        <v/>
      </c>
      <c r="J75" s="41">
        <f>SUM(J5:J74)</f>
        <v/>
      </c>
      <c r="K75" s="43">
        <f>IF(H75=0,"",I75/H75)</f>
        <v/>
      </c>
      <c r="L75" s="42" t="n"/>
      <c r="M75" s="42">
        <f>SUM(M5:M74)</f>
        <v/>
      </c>
      <c r="N75" s="42" t="n"/>
    </row>
    <row r="76">
      <c r="A76" s="44" t="n"/>
      <c r="B76" s="44" t="n"/>
      <c r="C76" s="44" t="inlineStr">
        <is>
          <t>المجموع المنشور في الدليل</t>
        </is>
      </c>
      <c r="D76" s="44" t="n">
        <v>310</v>
      </c>
      <c r="E76" s="44" t="n">
        <v>620</v>
      </c>
      <c r="F76" s="44" t="n">
        <v>1240</v>
      </c>
      <c r="G76" s="44" t="n">
        <v>1860</v>
      </c>
    </row>
    <row r="77">
      <c r="A77" s="44" t="n"/>
      <c r="B77" s="44" t="n"/>
      <c r="C77" s="44" t="inlineStr">
        <is>
          <t>الفرق (محسوب − منشور)</t>
        </is>
      </c>
      <c r="D77" s="44">
        <f>D75-D76</f>
        <v/>
      </c>
      <c r="E77" s="44">
        <f>E75-E76</f>
        <v/>
      </c>
      <c r="F77" s="44">
        <f>F75-F76</f>
        <v/>
      </c>
      <c r="G77" s="44">
        <f>G75-G76</f>
        <v/>
      </c>
    </row>
    <row r="79">
      <c r="C79" s="4" t="inlineStr">
        <is>
          <t>معيار نسبي إضافي (غير مُدرج في المجموع أعلاه):</t>
        </is>
      </c>
    </row>
    <row r="80">
      <c r="C80" s="46" t="inlineStr">
        <is>
          <t>أخصائي علاج تنفسي — أخصائي لكل 8 مرضى</t>
        </is>
      </c>
      <c r="H80" s="33">
        <f>ROUNDUP(CAP/8,0)</f>
        <v/>
      </c>
    </row>
  </sheetData>
  <mergeCells count="2">
    <mergeCell ref="A2:N2"/>
    <mergeCell ref="A1:N1"/>
  </mergeCells>
  <conditionalFormatting sqref="L5:L74">
    <cfRule type="expression" priority="1" dxfId="0">
      <formula>OR(L5="عجز",L5="لا يوجد")</formula>
    </cfRule>
    <cfRule type="expression" priority="2" dxfId="1">
      <formula>L5="مكتمل"</formula>
    </cfRule>
  </conditionalFormatting>
  <pageMargins left="0.75" right="0.75" top="1" bottom="1" header="0.5" footer="0.5"/>
</worksheet>
</file>

<file path=xl/worksheets/sheet16.xml><?xml version="1.0" encoding="utf-8"?>
<worksheet xmlns="http://schemas.openxmlformats.org/spreadsheetml/2006/main">
  <sheetPr>
    <tabColor rgb="001F6F6B"/>
    <outlinePr summaryBelow="1" summaryRight="1"/>
    <pageSetUpPr/>
  </sheetPr>
  <dimension ref="A1:N33"/>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9" customWidth="1" min="4" max="4"/>
    <col width="9" customWidth="1" min="5" max="5"/>
    <col width="9" customWidth="1" min="6" max="6"/>
    <col width="9" customWidth="1" min="7" max="7"/>
    <col width="13" customWidth="1" min="8" max="8"/>
    <col width="12" customWidth="1" min="9" max="9"/>
    <col width="13" customWidth="1" min="10" max="10"/>
    <col width="10" customWidth="1" min="11" max="11"/>
    <col width="11" customWidth="1" min="12" max="12"/>
    <col width="11" customWidth="1" min="13" max="13"/>
    <col width="42" customWidth="1" min="14" max="14"/>
  </cols>
  <sheetData>
    <row r="1" ht="30" customHeight="1">
      <c r="A1" s="1" t="inlineStr">
        <is>
          <t>الرعاية المديدة - الإداريون</t>
        </is>
      </c>
    </row>
    <row r="2" ht="20" customHeight="1">
      <c r="A2" s="2" t="inlineStr">
        <is>
          <t>الملحق (4) — مستشفيات الرعاية المديدة: الوظائف الإدارية (صفحات 63-64)</t>
        </is>
      </c>
    </row>
    <row r="3">
      <c r="C3" s="25" t="inlineStr">
        <is>
          <t>معاملا الاستيفاء ◄</t>
        </is>
      </c>
      <c r="D3" s="26">
        <f>IFERROR(MATCH(CAP,$D$4:$G$4,1),1)</f>
        <v/>
      </c>
      <c r="E3" s="27">
        <f>IF(OR(CAP&lt;=$D$4,CAP&gt;=$G$4),0,(CAP-INDEX($D$4:$G$4,$D$3))/(INDEX($D$4:$G$4,$D$3+1)-INDEX($D$4:$G$4,$D$3)))</f>
        <v/>
      </c>
    </row>
    <row r="4" ht="42" customHeight="1">
      <c r="A4" s="28" t="inlineStr">
        <is>
          <t>م</t>
        </is>
      </c>
      <c r="B4" s="28" t="inlineStr">
        <is>
          <t>الفئة</t>
        </is>
      </c>
      <c r="C4" s="28" t="inlineStr">
        <is>
          <t>المسمى الوظيفي</t>
        </is>
      </c>
      <c r="D4" s="29" t="n">
        <v>50</v>
      </c>
      <c r="E4" s="29" t="n">
        <v>100</v>
      </c>
      <c r="F4" s="29" t="n">
        <v>200</v>
      </c>
      <c r="G4" s="29" t="n">
        <v>300</v>
      </c>
      <c r="H4" s="28" t="inlineStr">
        <is>
          <t>الاحتياج للسعة المدخلة</t>
        </is>
      </c>
      <c r="I4" s="28" t="inlineStr">
        <is>
          <t>الموجود فعلياً</t>
        </is>
      </c>
      <c r="J4" s="28" t="inlineStr">
        <is>
          <t>الفجوة (+فائض / -عجز)</t>
        </is>
      </c>
      <c r="K4" s="28" t="inlineStr">
        <is>
          <t>نسبة التغطية</t>
        </is>
      </c>
      <c r="L4" s="28" t="inlineStr">
        <is>
          <t>الحالة</t>
        </is>
      </c>
      <c r="M4" s="28" t="inlineStr">
        <is>
          <t>القيمة قبل التقريب</t>
        </is>
      </c>
      <c r="N4" s="28" t="inlineStr">
        <is>
          <t>ملاحظات</t>
        </is>
      </c>
    </row>
    <row r="5">
      <c r="A5" s="30" t="n">
        <v>1</v>
      </c>
      <c r="B5" s="31" t="inlineStr">
        <is>
          <t>إداري</t>
        </is>
      </c>
      <c r="C5" s="5" t="inlineStr">
        <is>
          <t>سكرتير طبي</t>
        </is>
      </c>
      <c r="D5" s="32" t="n">
        <v>2</v>
      </c>
      <c r="E5" s="32" t="n">
        <v>4</v>
      </c>
      <c r="F5" s="32" t="n">
        <v>8</v>
      </c>
      <c r="G5" s="32" t="n">
        <v>12</v>
      </c>
      <c r="H5" s="33">
        <f>IF(RMODE="تقريب لأعلى",ROUNDUP(M5,0),ROUND(M5,0))</f>
        <v/>
      </c>
      <c r="I5" s="34" t="n"/>
      <c r="J5" s="35">
        <f>I5-H5</f>
        <v/>
      </c>
      <c r="K5" s="36">
        <f>IF(H5=0,"",I5/H5)</f>
        <v/>
      </c>
      <c r="L5" s="37">
        <f>IF(H5=0,"لا ينطبق",IF(I5&gt;=H5,"مكتمل",IF(I5=0,"لا يوجد","عجز")))</f>
        <v/>
      </c>
      <c r="M5" s="38">
        <f>IF(CAP&lt;=$D$4,D5*CAP/$D$4,IF(CAP&gt;=$G$4,G5*CAP/$G$4,INDEX($D5:$G5,$D$3)+$E$3*(INDEX($D5:$G5,$D$3+1)-INDEX($D5:$G5,$D$3))))</f>
        <v/>
      </c>
      <c r="N5" s="39" t="inlineStr"/>
    </row>
    <row r="6">
      <c r="A6" s="30" t="n">
        <v>2</v>
      </c>
      <c r="B6" s="31" t="inlineStr">
        <is>
          <t>إداري</t>
        </is>
      </c>
      <c r="C6" s="5" t="inlineStr">
        <is>
          <t>مأمور مشتريات</t>
        </is>
      </c>
      <c r="D6" s="32" t="n">
        <v>1</v>
      </c>
      <c r="E6" s="32" t="n">
        <v>2</v>
      </c>
      <c r="F6" s="32" t="n">
        <v>4</v>
      </c>
      <c r="G6" s="32" t="n">
        <v>6</v>
      </c>
      <c r="H6" s="33">
        <f>IF(RMODE="تقريب لأعلى",ROUNDUP(M6,0),ROUND(M6,0))</f>
        <v/>
      </c>
      <c r="I6" s="34" t="n"/>
      <c r="J6" s="35">
        <f>I6-H6</f>
        <v/>
      </c>
      <c r="K6" s="36">
        <f>IF(H6=0,"",I6/H6)</f>
        <v/>
      </c>
      <c r="L6" s="37">
        <f>IF(H6=0,"لا ينطبق",IF(I6&gt;=H6,"مكتمل",IF(I6=0,"لا يوجد","عجز")))</f>
        <v/>
      </c>
      <c r="M6" s="38">
        <f>IF(CAP&lt;=$D$4,D6*CAP/$D$4,IF(CAP&gt;=$G$4,G6*CAP/$G$4,INDEX($D6:$G6,$D$3)+$E$3*(INDEX($D6:$G6,$D$3+1)-INDEX($D6:$G6,$D$3))))</f>
        <v/>
      </c>
      <c r="N6" s="39" t="inlineStr"/>
    </row>
    <row r="7">
      <c r="A7" s="30" t="n">
        <v>3</v>
      </c>
      <c r="B7" s="31" t="inlineStr">
        <is>
          <t>إداري</t>
        </is>
      </c>
      <c r="C7" s="5" t="inlineStr">
        <is>
          <t>أمين صندوق</t>
        </is>
      </c>
      <c r="D7" s="32" t="n">
        <v>1</v>
      </c>
      <c r="E7" s="32" t="n">
        <v>2</v>
      </c>
      <c r="F7" s="32" t="n">
        <v>4</v>
      </c>
      <c r="G7" s="32" t="n">
        <v>6</v>
      </c>
      <c r="H7" s="33">
        <f>IF(RMODE="تقريب لأعلى",ROUNDUP(M7,0),ROUND(M7,0))</f>
        <v/>
      </c>
      <c r="I7" s="34" t="n"/>
      <c r="J7" s="35">
        <f>I7-H7</f>
        <v/>
      </c>
      <c r="K7" s="36">
        <f>IF(H7=0,"",I7/H7)</f>
        <v/>
      </c>
      <c r="L7" s="37">
        <f>IF(H7=0,"لا ينطبق",IF(I7&gt;=H7,"مكتمل",IF(I7=0,"لا يوجد","عجز")))</f>
        <v/>
      </c>
      <c r="M7" s="38">
        <f>IF(CAP&lt;=$D$4,D7*CAP/$D$4,IF(CAP&gt;=$G$4,G7*CAP/$G$4,INDEX($D7:$G7,$D$3)+$E$3*(INDEX($D7:$G7,$D$3+1)-INDEX($D7:$G7,$D$3))))</f>
        <v/>
      </c>
      <c r="N7" s="39" t="inlineStr"/>
    </row>
    <row r="8">
      <c r="A8" s="30" t="n">
        <v>4</v>
      </c>
      <c r="B8" s="31" t="inlineStr">
        <is>
          <t>إداري</t>
        </is>
      </c>
      <c r="C8" s="5" t="inlineStr">
        <is>
          <t>كاتب</t>
        </is>
      </c>
      <c r="D8" s="32" t="n">
        <v>10</v>
      </c>
      <c r="E8" s="32" t="n">
        <v>20</v>
      </c>
      <c r="F8" s="32" t="n">
        <v>40</v>
      </c>
      <c r="G8" s="32" t="n">
        <v>60</v>
      </c>
      <c r="H8" s="33">
        <f>IF(RMODE="تقريب لأعلى",ROUNDUP(M8,0),ROUND(M8,0))</f>
        <v/>
      </c>
      <c r="I8" s="34" t="n"/>
      <c r="J8" s="35">
        <f>I8-H8</f>
        <v/>
      </c>
      <c r="K8" s="36">
        <f>IF(H8=0,"",I8/H8)</f>
        <v/>
      </c>
      <c r="L8" s="37">
        <f>IF(H8=0,"لا ينطبق",IF(I8&gt;=H8,"مكتمل",IF(I8=0,"لا يوجد","عجز")))</f>
        <v/>
      </c>
      <c r="M8" s="38">
        <f>IF(CAP&lt;=$D$4,D8*CAP/$D$4,IF(CAP&gt;=$G$4,G8*CAP/$G$4,INDEX($D8:$G8,$D$3)+$E$3*(INDEX($D8:$G8,$D$3+1)-INDEX($D8:$G8,$D$3))))</f>
        <v/>
      </c>
      <c r="N8" s="39" t="inlineStr"/>
    </row>
    <row r="9">
      <c r="A9" s="30" t="n">
        <v>5</v>
      </c>
      <c r="B9" s="31" t="inlineStr">
        <is>
          <t>إداري</t>
        </is>
      </c>
      <c r="C9" s="5" t="inlineStr">
        <is>
          <t>أمين مستودع</t>
        </is>
      </c>
      <c r="D9" s="32" t="n">
        <v>2</v>
      </c>
      <c r="E9" s="32" t="n">
        <v>4</v>
      </c>
      <c r="F9" s="32" t="n">
        <v>8</v>
      </c>
      <c r="G9" s="32" t="n">
        <v>12</v>
      </c>
      <c r="H9" s="33">
        <f>IF(RMODE="تقريب لأعلى",ROUNDUP(M9,0),ROUND(M9,0))</f>
        <v/>
      </c>
      <c r="I9" s="34" t="n"/>
      <c r="J9" s="35">
        <f>I9-H9</f>
        <v/>
      </c>
      <c r="K9" s="36">
        <f>IF(H9=0,"",I9/H9)</f>
        <v/>
      </c>
      <c r="L9" s="37">
        <f>IF(H9=0,"لا ينطبق",IF(I9&gt;=H9,"مكتمل",IF(I9=0,"لا يوجد","عجز")))</f>
        <v/>
      </c>
      <c r="M9" s="38">
        <f>IF(CAP&lt;=$D$4,D9*CAP/$D$4,IF(CAP&gt;=$G$4,G9*CAP/$G$4,INDEX($D9:$G9,$D$3)+$E$3*(INDEX($D9:$G9,$D$3+1)-INDEX($D9:$G9,$D$3))))</f>
        <v/>
      </c>
      <c r="N9" s="39" t="inlineStr"/>
    </row>
    <row r="10">
      <c r="A10" s="30" t="n">
        <v>6</v>
      </c>
      <c r="B10" s="31" t="inlineStr">
        <is>
          <t>إداري</t>
        </is>
      </c>
      <c r="C10" s="5" t="inlineStr">
        <is>
          <t>فني إحصاء صحي</t>
        </is>
      </c>
      <c r="D10" s="32" t="n">
        <v>2</v>
      </c>
      <c r="E10" s="32" t="n">
        <v>4</v>
      </c>
      <c r="F10" s="32" t="n">
        <v>8</v>
      </c>
      <c r="G10" s="32" t="n">
        <v>12</v>
      </c>
      <c r="H10" s="33">
        <f>IF(RMODE="تقريب لأعلى",ROUNDUP(M10,0),ROUND(M10,0))</f>
        <v/>
      </c>
      <c r="I10" s="34" t="n"/>
      <c r="J10" s="35">
        <f>I10-H10</f>
        <v/>
      </c>
      <c r="K10" s="36">
        <f>IF(H10=0,"",I10/H10)</f>
        <v/>
      </c>
      <c r="L10" s="37">
        <f>IF(H10=0,"لا ينطبق",IF(I10&gt;=H10,"مكتمل",IF(I10=0,"لا يوجد","عجز")))</f>
        <v/>
      </c>
      <c r="M10" s="38">
        <f>IF(CAP&lt;=$D$4,D10*CAP/$D$4,IF(CAP&gt;=$G$4,G10*CAP/$G$4,INDEX($D10:$G10,$D$3)+$E$3*(INDEX($D10:$G10,$D$3+1)-INDEX($D10:$G10,$D$3))))</f>
        <v/>
      </c>
      <c r="N10" s="39" t="inlineStr"/>
    </row>
    <row r="11">
      <c r="A11" s="30" t="n">
        <v>7</v>
      </c>
      <c r="B11" s="31" t="inlineStr">
        <is>
          <t>إداري</t>
        </is>
      </c>
      <c r="C11" s="5" t="inlineStr">
        <is>
          <t>مساعد إداري</t>
        </is>
      </c>
      <c r="D11" s="32" t="n">
        <v>4</v>
      </c>
      <c r="E11" s="32" t="n">
        <v>8</v>
      </c>
      <c r="F11" s="32" t="n">
        <v>16</v>
      </c>
      <c r="G11" s="32" t="n">
        <v>24</v>
      </c>
      <c r="H11" s="33">
        <f>IF(RMODE="تقريب لأعلى",ROUNDUP(M11,0),ROUND(M11,0))</f>
        <v/>
      </c>
      <c r="I11" s="34" t="n"/>
      <c r="J11" s="35">
        <f>I11-H11</f>
        <v/>
      </c>
      <c r="K11" s="36">
        <f>IF(H11=0,"",I11/H11)</f>
        <v/>
      </c>
      <c r="L11" s="37">
        <f>IF(H11=0,"لا ينطبق",IF(I11&gt;=H11,"مكتمل",IF(I11=0,"لا يوجد","عجز")))</f>
        <v/>
      </c>
      <c r="M11" s="38">
        <f>IF(CAP&lt;=$D$4,D11*CAP/$D$4,IF(CAP&gt;=$G$4,G11*CAP/$G$4,INDEX($D11:$G11,$D$3)+$E$3*(INDEX($D11:$G11,$D$3+1)-INDEX($D11:$G11,$D$3))))</f>
        <v/>
      </c>
      <c r="N11" s="39" t="inlineStr"/>
    </row>
    <row r="12">
      <c r="A12" s="30" t="n">
        <v>8</v>
      </c>
      <c r="B12" s="31" t="inlineStr">
        <is>
          <t>إداري</t>
        </is>
      </c>
      <c r="C12" s="5" t="inlineStr">
        <is>
          <t>رئيس قسم المحاسبة</t>
        </is>
      </c>
      <c r="D12" s="32" t="n">
        <v>1</v>
      </c>
      <c r="E12" s="32" t="n">
        <v>2</v>
      </c>
      <c r="F12" s="32" t="n">
        <v>4</v>
      </c>
      <c r="G12" s="32" t="n">
        <v>6</v>
      </c>
      <c r="H12" s="33">
        <f>IF(RMODE="تقريب لأعلى",ROUNDUP(M12,0),ROUND(M12,0))</f>
        <v/>
      </c>
      <c r="I12" s="34" t="n"/>
      <c r="J12" s="35">
        <f>I12-H12</f>
        <v/>
      </c>
      <c r="K12" s="36">
        <f>IF(H12=0,"",I12/H12)</f>
        <v/>
      </c>
      <c r="L12" s="37">
        <f>IF(H12=0,"لا ينطبق",IF(I12&gt;=H12,"مكتمل",IF(I12=0,"لا يوجد","عجز")))</f>
        <v/>
      </c>
      <c r="M12" s="38">
        <f>IF(CAP&lt;=$D$4,D12*CAP/$D$4,IF(CAP&gt;=$G$4,G12*CAP/$G$4,INDEX($D12:$G12,$D$3)+$E$3*(INDEX($D12:$G12,$D$3+1)-INDEX($D12:$G12,$D$3))))</f>
        <v/>
      </c>
      <c r="N12" s="39" t="inlineStr"/>
    </row>
    <row r="13">
      <c r="A13" s="30" t="n">
        <v>9</v>
      </c>
      <c r="B13" s="31" t="inlineStr">
        <is>
          <t>إداري</t>
        </is>
      </c>
      <c r="C13" s="5" t="inlineStr">
        <is>
          <t>محاسب مساعد</t>
        </is>
      </c>
      <c r="D13" s="32" t="n">
        <v>3</v>
      </c>
      <c r="E13" s="32" t="n">
        <v>6</v>
      </c>
      <c r="F13" s="32" t="n">
        <v>12</v>
      </c>
      <c r="G13" s="32" t="n">
        <v>18</v>
      </c>
      <c r="H13" s="33">
        <f>IF(RMODE="تقريب لأعلى",ROUNDUP(M13,0),ROUND(M13,0))</f>
        <v/>
      </c>
      <c r="I13" s="34" t="n"/>
      <c r="J13" s="35">
        <f>I13-H13</f>
        <v/>
      </c>
      <c r="K13" s="36">
        <f>IF(H13=0,"",I13/H13)</f>
        <v/>
      </c>
      <c r="L13" s="37">
        <f>IF(H13=0,"لا ينطبق",IF(I13&gt;=H13,"مكتمل",IF(I13=0,"لا يوجد","عجز")))</f>
        <v/>
      </c>
      <c r="M13" s="38">
        <f>IF(CAP&lt;=$D$4,D13*CAP/$D$4,IF(CAP&gt;=$G$4,G13*CAP/$G$4,INDEX($D13:$G13,$D$3)+$E$3*(INDEX($D13:$G13,$D$3+1)-INDEX($D13:$G13,$D$3))))</f>
        <v/>
      </c>
      <c r="N13" s="39" t="inlineStr"/>
    </row>
    <row r="14">
      <c r="A14" s="30" t="n">
        <v>10</v>
      </c>
      <c r="B14" s="31" t="inlineStr">
        <is>
          <t>إداري</t>
        </is>
      </c>
      <c r="C14" s="5" t="inlineStr">
        <is>
          <t>مدقق شؤون موظفين</t>
        </is>
      </c>
      <c r="D14" s="32" t="n">
        <v>4</v>
      </c>
      <c r="E14" s="32" t="n">
        <v>8</v>
      </c>
      <c r="F14" s="32" t="n">
        <v>16</v>
      </c>
      <c r="G14" s="32" t="n">
        <v>24</v>
      </c>
      <c r="H14" s="33">
        <f>IF(RMODE="تقريب لأعلى",ROUNDUP(M14,0),ROUND(M14,0))</f>
        <v/>
      </c>
      <c r="I14" s="34" t="n"/>
      <c r="J14" s="35">
        <f>I14-H14</f>
        <v/>
      </c>
      <c r="K14" s="36">
        <f>IF(H14=0,"",I14/H14)</f>
        <v/>
      </c>
      <c r="L14" s="37">
        <f>IF(H14=0,"لا ينطبق",IF(I14&gt;=H14,"مكتمل",IF(I14=0,"لا يوجد","عجز")))</f>
        <v/>
      </c>
      <c r="M14" s="38">
        <f>IF(CAP&lt;=$D$4,D14*CAP/$D$4,IF(CAP&gt;=$G$4,G14*CAP/$G$4,INDEX($D14:$G14,$D$3)+$E$3*(INDEX($D14:$G14,$D$3+1)-INDEX($D14:$G14,$D$3))))</f>
        <v/>
      </c>
      <c r="N14" s="39" t="inlineStr"/>
    </row>
    <row r="15">
      <c r="A15" s="30" t="n">
        <v>11</v>
      </c>
      <c r="B15" s="31" t="inlineStr">
        <is>
          <t>إداري</t>
        </is>
      </c>
      <c r="C15" s="5" t="inlineStr">
        <is>
          <t>مشرف إسكان</t>
        </is>
      </c>
      <c r="D15" s="32" t="n">
        <v>1</v>
      </c>
      <c r="E15" s="32" t="n">
        <v>2</v>
      </c>
      <c r="F15" s="32" t="n">
        <v>4</v>
      </c>
      <c r="G15" s="32" t="n">
        <v>6</v>
      </c>
      <c r="H15" s="33">
        <f>IF(RMODE="تقريب لأعلى",ROUNDUP(M15,0),ROUND(M15,0))</f>
        <v/>
      </c>
      <c r="I15" s="34" t="n"/>
      <c r="J15" s="35">
        <f>I15-H15</f>
        <v/>
      </c>
      <c r="K15" s="36">
        <f>IF(H15=0,"",I15/H15)</f>
        <v/>
      </c>
      <c r="L15" s="37">
        <f>IF(H15=0,"لا ينطبق",IF(I15&gt;=H15,"مكتمل",IF(I15=0,"لا يوجد","عجز")))</f>
        <v/>
      </c>
      <c r="M15" s="38">
        <f>IF(CAP&lt;=$D$4,D15*CAP/$D$4,IF(CAP&gt;=$G$4,G15*CAP/$G$4,INDEX($D15:$G15,$D$3)+$E$3*(INDEX($D15:$G15,$D$3+1)-INDEX($D15:$G15,$D$3))))</f>
        <v/>
      </c>
      <c r="N15" s="39" t="inlineStr"/>
    </row>
    <row r="16">
      <c r="A16" s="30" t="n">
        <v>12</v>
      </c>
      <c r="B16" s="31" t="inlineStr">
        <is>
          <t>إداري</t>
        </is>
      </c>
      <c r="C16" s="5" t="inlineStr">
        <is>
          <t>مهندس كهربائي مساعد</t>
        </is>
      </c>
      <c r="D16" s="32" t="n">
        <v>0</v>
      </c>
      <c r="E16" s="32" t="n">
        <v>0</v>
      </c>
      <c r="F16" s="32" t="n">
        <v>0</v>
      </c>
      <c r="G16" s="32" t="n">
        <v>0</v>
      </c>
      <c r="H16" s="33">
        <f>IF(RMODE="تقريب لأعلى",ROUNDUP(M16,0),ROUND(M16,0))</f>
        <v/>
      </c>
      <c r="I16" s="34" t="n"/>
      <c r="J16" s="35">
        <f>I16-H16</f>
        <v/>
      </c>
      <c r="K16" s="36">
        <f>IF(H16=0,"",I16/H16)</f>
        <v/>
      </c>
      <c r="L16" s="37">
        <f>IF(H16=0,"لا ينطبق",IF(I16&gt;=H16,"مكتمل",IF(I16=0,"لا يوجد","عجز")))</f>
        <v/>
      </c>
      <c r="M16" s="38">
        <f>IF(CAP&lt;=$D$4,D16*CAP/$D$4,IF(CAP&gt;=$G$4,G16*CAP/$G$4,INDEX($D16:$G16,$D$3)+$E$3*(INDEX($D16:$G16,$D$3+1)-INDEX($D16:$G16,$D$3))))</f>
        <v/>
      </c>
      <c r="N16" s="39" t="inlineStr"/>
    </row>
    <row r="17">
      <c r="A17" s="30" t="n">
        <v>13</v>
      </c>
      <c r="B17" s="31" t="inlineStr">
        <is>
          <t>إداري</t>
        </is>
      </c>
      <c r="C17" s="5" t="inlineStr">
        <is>
          <t>مهندس ميكانيكي مساعد</t>
        </is>
      </c>
      <c r="D17" s="32" t="n">
        <v>0</v>
      </c>
      <c r="E17" s="32" t="n">
        <v>0</v>
      </c>
      <c r="F17" s="32" t="n">
        <v>0</v>
      </c>
      <c r="G17" s="32" t="n">
        <v>0</v>
      </c>
      <c r="H17" s="33">
        <f>IF(RMODE="تقريب لأعلى",ROUNDUP(M17,0),ROUND(M17,0))</f>
        <v/>
      </c>
      <c r="I17" s="34" t="n"/>
      <c r="J17" s="35">
        <f>I17-H17</f>
        <v/>
      </c>
      <c r="K17" s="36">
        <f>IF(H17=0,"",I17/H17)</f>
        <v/>
      </c>
      <c r="L17" s="37">
        <f>IF(H17=0,"لا ينطبق",IF(I17&gt;=H17,"مكتمل",IF(I17=0,"لا يوجد","عجز")))</f>
        <v/>
      </c>
      <c r="M17" s="38">
        <f>IF(CAP&lt;=$D$4,D17*CAP/$D$4,IF(CAP&gt;=$G$4,G17*CAP/$G$4,INDEX($D17:$G17,$D$3)+$E$3*(INDEX($D17:$G17,$D$3+1)-INDEX($D17:$G17,$D$3))))</f>
        <v/>
      </c>
      <c r="N17" s="39" t="inlineStr"/>
    </row>
    <row r="18">
      <c r="A18" s="30" t="n">
        <v>14</v>
      </c>
      <c r="B18" s="31" t="inlineStr">
        <is>
          <t>إداري</t>
        </is>
      </c>
      <c r="C18" s="5" t="inlineStr">
        <is>
          <t>مهندس معماري مساعد</t>
        </is>
      </c>
      <c r="D18" s="32" t="n">
        <v>0</v>
      </c>
      <c r="E18" s="32" t="n">
        <v>0</v>
      </c>
      <c r="F18" s="32" t="n">
        <v>0</v>
      </c>
      <c r="G18" s="32" t="n">
        <v>0</v>
      </c>
      <c r="H18" s="33">
        <f>IF(RMODE="تقريب لأعلى",ROUNDUP(M18,0),ROUND(M18,0))</f>
        <v/>
      </c>
      <c r="I18" s="34" t="n"/>
      <c r="J18" s="35">
        <f>I18-H18</f>
        <v/>
      </c>
      <c r="K18" s="36">
        <f>IF(H18=0,"",I18/H18)</f>
        <v/>
      </c>
      <c r="L18" s="37">
        <f>IF(H18=0,"لا ينطبق",IF(I18&gt;=H18,"مكتمل",IF(I18=0,"لا يوجد","عجز")))</f>
        <v/>
      </c>
      <c r="M18" s="38">
        <f>IF(CAP&lt;=$D$4,D18*CAP/$D$4,IF(CAP&gt;=$G$4,G18*CAP/$G$4,INDEX($D18:$G18,$D$3)+$E$3*(INDEX($D18:$G18,$D$3+1)-INDEX($D18:$G18,$D$3))))</f>
        <v/>
      </c>
      <c r="N18" s="39" t="inlineStr"/>
    </row>
    <row r="19">
      <c r="A19" s="30" t="n">
        <v>15</v>
      </c>
      <c r="B19" s="31" t="inlineStr">
        <is>
          <t>إداري</t>
        </is>
      </c>
      <c r="C19" s="5" t="inlineStr">
        <is>
          <t>رئيس قسم شؤون الموظفين</t>
        </is>
      </c>
      <c r="D19" s="32" t="n">
        <v>1</v>
      </c>
      <c r="E19" s="32" t="n">
        <v>2</v>
      </c>
      <c r="F19" s="32" t="n">
        <v>4</v>
      </c>
      <c r="G19" s="32" t="n">
        <v>6</v>
      </c>
      <c r="H19" s="33">
        <f>IF(RMODE="تقريب لأعلى",ROUNDUP(M19,0),ROUND(M19,0))</f>
        <v/>
      </c>
      <c r="I19" s="34" t="n"/>
      <c r="J19" s="35">
        <f>I19-H19</f>
        <v/>
      </c>
      <c r="K19" s="36">
        <f>IF(H19=0,"",I19/H19)</f>
        <v/>
      </c>
      <c r="L19" s="37">
        <f>IF(H19=0,"لا ينطبق",IF(I19&gt;=H19,"مكتمل",IF(I19=0,"لا يوجد","عجز")))</f>
        <v/>
      </c>
      <c r="M19" s="38">
        <f>IF(CAP&lt;=$D$4,D19*CAP/$D$4,IF(CAP&gt;=$G$4,G19*CAP/$G$4,INDEX($D19:$G19,$D$3)+$E$3*(INDEX($D19:$G19,$D$3+1)-INDEX($D19:$G19,$D$3))))</f>
        <v/>
      </c>
      <c r="N19" s="39" t="inlineStr"/>
    </row>
    <row r="20">
      <c r="A20" s="30" t="n">
        <v>16</v>
      </c>
      <c r="B20" s="31" t="inlineStr">
        <is>
          <t>إداري</t>
        </is>
      </c>
      <c r="C20" s="5" t="inlineStr">
        <is>
          <t>مترجم</t>
        </is>
      </c>
      <c r="D20" s="32" t="n">
        <v>2</v>
      </c>
      <c r="E20" s="32" t="n">
        <v>4</v>
      </c>
      <c r="F20" s="32" t="n">
        <v>8</v>
      </c>
      <c r="G20" s="32" t="n">
        <v>12</v>
      </c>
      <c r="H20" s="33">
        <f>IF(RMODE="تقريب لأعلى",ROUNDUP(M20,0),ROUND(M20,0))</f>
        <v/>
      </c>
      <c r="I20" s="34" t="n"/>
      <c r="J20" s="35">
        <f>I20-H20</f>
        <v/>
      </c>
      <c r="K20" s="36">
        <f>IF(H20=0,"",I20/H20)</f>
        <v/>
      </c>
      <c r="L20" s="37">
        <f>IF(H20=0,"لا ينطبق",IF(I20&gt;=H20,"مكتمل",IF(I20=0,"لا يوجد","عجز")))</f>
        <v/>
      </c>
      <c r="M20" s="38">
        <f>IF(CAP&lt;=$D$4,D20*CAP/$D$4,IF(CAP&gt;=$G$4,G20*CAP/$G$4,INDEX($D20:$G20,$D$3)+$E$3*(INDEX($D20:$G20,$D$3+1)-INDEX($D20:$G20,$D$3))))</f>
        <v/>
      </c>
      <c r="N20" s="39" t="inlineStr"/>
    </row>
    <row r="21">
      <c r="A21" s="30" t="n">
        <v>17</v>
      </c>
      <c r="B21" s="31" t="inlineStr">
        <is>
          <t>إداري</t>
        </is>
      </c>
      <c r="C21" s="5" t="inlineStr">
        <is>
          <t>مراقب مخزون</t>
        </is>
      </c>
      <c r="D21" s="32" t="n">
        <v>2</v>
      </c>
      <c r="E21" s="32" t="n">
        <v>4</v>
      </c>
      <c r="F21" s="32" t="n">
        <v>8</v>
      </c>
      <c r="G21" s="32" t="n">
        <v>12</v>
      </c>
      <c r="H21" s="33">
        <f>IF(RMODE="تقريب لأعلى",ROUNDUP(M21,0),ROUND(M21,0))</f>
        <v/>
      </c>
      <c r="I21" s="34" t="n"/>
      <c r="J21" s="35">
        <f>I21-H21</f>
        <v/>
      </c>
      <c r="K21" s="36">
        <f>IF(H21=0,"",I21/H21)</f>
        <v/>
      </c>
      <c r="L21" s="37">
        <f>IF(H21=0,"لا ينطبق",IF(I21&gt;=H21,"مكتمل",IF(I21=0,"لا يوجد","عجز")))</f>
        <v/>
      </c>
      <c r="M21" s="38">
        <f>IF(CAP&lt;=$D$4,D21*CAP/$D$4,IF(CAP&gt;=$G$4,G21*CAP/$G$4,INDEX($D21:$G21,$D$3)+$E$3*(INDEX($D21:$G21,$D$3+1)-INDEX($D21:$G21,$D$3))))</f>
        <v/>
      </c>
      <c r="N21" s="39" t="inlineStr"/>
    </row>
    <row r="22">
      <c r="A22" s="30" t="n">
        <v>18</v>
      </c>
      <c r="B22" s="31" t="inlineStr">
        <is>
          <t>إداري</t>
        </is>
      </c>
      <c r="C22" s="5" t="inlineStr">
        <is>
          <t>مفتش إداري</t>
        </is>
      </c>
      <c r="D22" s="32" t="n">
        <v>1</v>
      </c>
      <c r="E22" s="32" t="n">
        <v>2</v>
      </c>
      <c r="F22" s="32" t="n">
        <v>4</v>
      </c>
      <c r="G22" s="32" t="n">
        <v>6</v>
      </c>
      <c r="H22" s="33">
        <f>IF(RMODE="تقريب لأعلى",ROUNDUP(M22,0),ROUND(M22,0))</f>
        <v/>
      </c>
      <c r="I22" s="34" t="n"/>
      <c r="J22" s="35">
        <f>I22-H22</f>
        <v/>
      </c>
      <c r="K22" s="36">
        <f>IF(H22=0,"",I22/H22)</f>
        <v/>
      </c>
      <c r="L22" s="37">
        <f>IF(H22=0,"لا ينطبق",IF(I22&gt;=H22,"مكتمل",IF(I22=0,"لا يوجد","عجز")))</f>
        <v/>
      </c>
      <c r="M22" s="38">
        <f>IF(CAP&lt;=$D$4,D22*CAP/$D$4,IF(CAP&gt;=$G$4,G22*CAP/$G$4,INDEX($D22:$G22,$D$3)+$E$3*(INDEX($D22:$G22,$D$3+1)-INDEX($D22:$G22,$D$3))))</f>
        <v/>
      </c>
      <c r="N22" s="39" t="inlineStr"/>
    </row>
    <row r="23">
      <c r="A23" s="30" t="n">
        <v>19</v>
      </c>
      <c r="B23" s="31" t="inlineStr">
        <is>
          <t>إداري</t>
        </is>
      </c>
      <c r="C23" s="5" t="inlineStr">
        <is>
          <t>مأمور علاقات عامة</t>
        </is>
      </c>
      <c r="D23" s="32" t="n">
        <v>2</v>
      </c>
      <c r="E23" s="32" t="n">
        <v>4</v>
      </c>
      <c r="F23" s="32" t="n">
        <v>8</v>
      </c>
      <c r="G23" s="32" t="n">
        <v>12</v>
      </c>
      <c r="H23" s="33">
        <f>IF(RMODE="تقريب لأعلى",ROUNDUP(M23,0),ROUND(M23,0))</f>
        <v/>
      </c>
      <c r="I23" s="34" t="n"/>
      <c r="J23" s="35">
        <f>I23-H23</f>
        <v/>
      </c>
      <c r="K23" s="36">
        <f>IF(H23=0,"",I23/H23)</f>
        <v/>
      </c>
      <c r="L23" s="37">
        <f>IF(H23=0,"لا ينطبق",IF(I23&gt;=H23,"مكتمل",IF(I23=0,"لا يوجد","عجز")))</f>
        <v/>
      </c>
      <c r="M23" s="38">
        <f>IF(CAP&lt;=$D$4,D23*CAP/$D$4,IF(CAP&gt;=$G$4,G23*CAP/$G$4,INDEX($D23:$G23,$D$3)+$E$3*(INDEX($D23:$G23,$D$3+1)-INDEX($D23:$G23,$D$3))))</f>
        <v/>
      </c>
      <c r="N23" s="39" t="inlineStr"/>
    </row>
    <row r="24">
      <c r="A24" s="30" t="n">
        <v>20</v>
      </c>
      <c r="B24" s="31" t="inlineStr">
        <is>
          <t>إداري</t>
        </is>
      </c>
      <c r="C24" s="5" t="inlineStr">
        <is>
          <t>رئيس قسم المتابعة</t>
        </is>
      </c>
      <c r="D24" s="32" t="n">
        <v>1</v>
      </c>
      <c r="E24" s="32" t="n">
        <v>2</v>
      </c>
      <c r="F24" s="32" t="n">
        <v>4</v>
      </c>
      <c r="G24" s="32" t="n">
        <v>6</v>
      </c>
      <c r="H24" s="33">
        <f>IF(RMODE="تقريب لأعلى",ROUNDUP(M24,0),ROUND(M24,0))</f>
        <v/>
      </c>
      <c r="I24" s="34" t="n"/>
      <c r="J24" s="35">
        <f>I24-H24</f>
        <v/>
      </c>
      <c r="K24" s="36">
        <f>IF(H24=0,"",I24/H24)</f>
        <v/>
      </c>
      <c r="L24" s="37">
        <f>IF(H24=0,"لا ينطبق",IF(I24&gt;=H24,"مكتمل",IF(I24=0,"لا يوجد","عجز")))</f>
        <v/>
      </c>
      <c r="M24" s="38">
        <f>IF(CAP&lt;=$D$4,D24*CAP/$D$4,IF(CAP&gt;=$G$4,G24*CAP/$G$4,INDEX($D24:$G24,$D$3)+$E$3*(INDEX($D24:$G24,$D$3+1)-INDEX($D24:$G24,$D$3))))</f>
        <v/>
      </c>
      <c r="N24" s="39" t="inlineStr"/>
    </row>
    <row r="25">
      <c r="A25" s="30" t="n">
        <v>21</v>
      </c>
      <c r="B25" s="31" t="inlineStr">
        <is>
          <t>إداري</t>
        </is>
      </c>
      <c r="C25" s="5" t="inlineStr">
        <is>
          <t>كاتب جناح</t>
        </is>
      </c>
      <c r="D25" s="32" t="n">
        <v>5</v>
      </c>
      <c r="E25" s="32" t="n">
        <v>10</v>
      </c>
      <c r="F25" s="32" t="n">
        <v>20</v>
      </c>
      <c r="G25" s="32" t="n">
        <v>30</v>
      </c>
      <c r="H25" s="33">
        <f>IF(RMODE="تقريب لأعلى",ROUNDUP(M25,0),ROUND(M25,0))</f>
        <v/>
      </c>
      <c r="I25" s="34" t="n"/>
      <c r="J25" s="35">
        <f>I25-H25</f>
        <v/>
      </c>
      <c r="K25" s="36">
        <f>IF(H25=0,"",I25/H25)</f>
        <v/>
      </c>
      <c r="L25" s="37">
        <f>IF(H25=0,"لا ينطبق",IF(I25&gt;=H25,"مكتمل",IF(I25=0,"لا يوجد","عجز")))</f>
        <v/>
      </c>
      <c r="M25" s="38">
        <f>IF(CAP&lt;=$D$4,D25*CAP/$D$4,IF(CAP&gt;=$G$4,G25*CAP/$G$4,INDEX($D25:$G25,$D$3)+$E$3*(INDEX($D25:$G25,$D$3+1)-INDEX($D25:$G25,$D$3))))</f>
        <v/>
      </c>
      <c r="N25" s="39" t="inlineStr"/>
    </row>
    <row r="26">
      <c r="A26" s="30" t="n">
        <v>22</v>
      </c>
      <c r="B26" s="31" t="inlineStr">
        <is>
          <t>إداري</t>
        </is>
      </c>
      <c r="C26" s="5" t="inlineStr">
        <is>
          <t>موظف استقبال</t>
        </is>
      </c>
      <c r="D26" s="32" t="n">
        <v>5</v>
      </c>
      <c r="E26" s="32" t="n">
        <v>10</v>
      </c>
      <c r="F26" s="32" t="n">
        <v>20</v>
      </c>
      <c r="G26" s="32" t="n">
        <v>30</v>
      </c>
      <c r="H26" s="33">
        <f>IF(RMODE="تقريب لأعلى",ROUNDUP(M26,0),ROUND(M26,0))</f>
        <v/>
      </c>
      <c r="I26" s="34" t="n"/>
      <c r="J26" s="35">
        <f>I26-H26</f>
        <v/>
      </c>
      <c r="K26" s="36">
        <f>IF(H26=0,"",I26/H26)</f>
        <v/>
      </c>
      <c r="L26" s="37">
        <f>IF(H26=0,"لا ينطبق",IF(I26&gt;=H26,"مكتمل",IF(I26=0,"لا يوجد","عجز")))</f>
        <v/>
      </c>
      <c r="M26" s="38">
        <f>IF(CAP&lt;=$D$4,D26*CAP/$D$4,IF(CAP&gt;=$G$4,G26*CAP/$G$4,INDEX($D26:$G26,$D$3)+$E$3*(INDEX($D26:$G26,$D$3+1)-INDEX($D26:$G26,$D$3))))</f>
        <v/>
      </c>
      <c r="N26" s="39" t="inlineStr"/>
    </row>
    <row r="27">
      <c r="A27" s="30" t="n">
        <v>23</v>
      </c>
      <c r="B27" s="31" t="inlineStr">
        <is>
          <t>إداري</t>
        </is>
      </c>
      <c r="C27" s="5" t="inlineStr">
        <is>
          <t>مشرف أمن وسلامة</t>
        </is>
      </c>
      <c r="D27" s="32" t="n">
        <v>2</v>
      </c>
      <c r="E27" s="32" t="n">
        <v>4</v>
      </c>
      <c r="F27" s="32" t="n">
        <v>8</v>
      </c>
      <c r="G27" s="32" t="n">
        <v>12</v>
      </c>
      <c r="H27" s="33">
        <f>IF(RMODE="تقريب لأعلى",ROUNDUP(M27,0),ROUND(M27,0))</f>
        <v/>
      </c>
      <c r="I27" s="34" t="n"/>
      <c r="J27" s="35">
        <f>I27-H27</f>
        <v/>
      </c>
      <c r="K27" s="36">
        <f>IF(H27=0,"",I27/H27)</f>
        <v/>
      </c>
      <c r="L27" s="37">
        <f>IF(H27=0,"لا ينطبق",IF(I27&gt;=H27,"مكتمل",IF(I27=0,"لا يوجد","عجز")))</f>
        <v/>
      </c>
      <c r="M27" s="38">
        <f>IF(CAP&lt;=$D$4,D27*CAP/$D$4,IF(CAP&gt;=$G$4,G27*CAP/$G$4,INDEX($D27:$G27,$D$3)+$E$3*(INDEX($D27:$G27,$D$3+1)-INDEX($D27:$G27,$D$3))))</f>
        <v/>
      </c>
      <c r="N27" s="39" t="inlineStr"/>
    </row>
    <row r="28">
      <c r="A28" s="30" t="n">
        <v>24</v>
      </c>
      <c r="B28" s="31" t="inlineStr">
        <is>
          <t>إداري</t>
        </is>
      </c>
      <c r="C28" s="5" t="inlineStr">
        <is>
          <t>مشغل حاسب آلي</t>
        </is>
      </c>
      <c r="D28" s="32" t="n">
        <v>2</v>
      </c>
      <c r="E28" s="32" t="n">
        <v>4</v>
      </c>
      <c r="F28" s="32" t="n">
        <v>8</v>
      </c>
      <c r="G28" s="32" t="n">
        <v>12</v>
      </c>
      <c r="H28" s="33">
        <f>IF(RMODE="تقريب لأعلى",ROUNDUP(M28,0),ROUND(M28,0))</f>
        <v/>
      </c>
      <c r="I28" s="34" t="n"/>
      <c r="J28" s="35">
        <f>I28-H28</f>
        <v/>
      </c>
      <c r="K28" s="36">
        <f>IF(H28=0,"",I28/H28)</f>
        <v/>
      </c>
      <c r="L28" s="37">
        <f>IF(H28=0,"لا ينطبق",IF(I28&gt;=H28,"مكتمل",IF(I28=0,"لا يوجد","عجز")))</f>
        <v/>
      </c>
      <c r="M28" s="38">
        <f>IF(CAP&lt;=$D$4,D28*CAP/$D$4,IF(CAP&gt;=$G$4,G28*CAP/$G$4,INDEX($D28:$G28,$D$3)+$E$3*(INDEX($D28:$G28,$D$3+1)-INDEX($D28:$G28,$D$3))))</f>
        <v/>
      </c>
      <c r="N28" s="39" t="inlineStr"/>
    </row>
    <row r="29">
      <c r="A29" s="30" t="n">
        <v>25</v>
      </c>
      <c r="B29" s="31" t="inlineStr">
        <is>
          <t>إداري</t>
        </is>
      </c>
      <c r="C29" s="5" t="inlineStr">
        <is>
          <t>مراسل</t>
        </is>
      </c>
      <c r="D29" s="32" t="n">
        <v>5</v>
      </c>
      <c r="E29" s="32" t="n">
        <v>10</v>
      </c>
      <c r="F29" s="32" t="n">
        <v>20</v>
      </c>
      <c r="G29" s="32" t="n">
        <v>30</v>
      </c>
      <c r="H29" s="33">
        <f>IF(RMODE="تقريب لأعلى",ROUNDUP(M29,0),ROUND(M29,0))</f>
        <v/>
      </c>
      <c r="I29" s="34" t="n"/>
      <c r="J29" s="35">
        <f>I29-H29</f>
        <v/>
      </c>
      <c r="K29" s="36">
        <f>IF(H29=0,"",I29/H29)</f>
        <v/>
      </c>
      <c r="L29" s="37">
        <f>IF(H29=0,"لا ينطبق",IF(I29&gt;=H29,"مكتمل",IF(I29=0,"لا يوجد","عجز")))</f>
        <v/>
      </c>
      <c r="M29" s="38">
        <f>IF(CAP&lt;=$D$4,D29*CAP/$D$4,IF(CAP&gt;=$G$4,G29*CAP/$G$4,INDEX($D29:$G29,$D$3)+$E$3*(INDEX($D29:$G29,$D$3+1)-INDEX($D29:$G29,$D$3))))</f>
        <v/>
      </c>
      <c r="N29" s="39" t="inlineStr"/>
    </row>
    <row r="30">
      <c r="A30" s="30" t="n">
        <v>26</v>
      </c>
      <c r="B30" s="31" t="inlineStr">
        <is>
          <t>إداري</t>
        </is>
      </c>
      <c r="C30" s="5" t="inlineStr">
        <is>
          <t>سائق</t>
        </is>
      </c>
      <c r="D30" s="32" t="n">
        <v>5</v>
      </c>
      <c r="E30" s="32" t="n">
        <v>10</v>
      </c>
      <c r="F30" s="32" t="n">
        <v>20</v>
      </c>
      <c r="G30" s="32" t="n">
        <v>30</v>
      </c>
      <c r="H30" s="33">
        <f>IF(RMODE="تقريب لأعلى",ROUNDUP(M30,0),ROUND(M30,0))</f>
        <v/>
      </c>
      <c r="I30" s="34" t="n"/>
      <c r="J30" s="35">
        <f>I30-H30</f>
        <v/>
      </c>
      <c r="K30" s="36">
        <f>IF(H30=0,"",I30/H30)</f>
        <v/>
      </c>
      <c r="L30" s="37">
        <f>IF(H30=0,"لا ينطبق",IF(I30&gt;=H30,"مكتمل",IF(I30=0,"لا يوجد","عجز")))</f>
        <v/>
      </c>
      <c r="M30" s="38">
        <f>IF(CAP&lt;=$D$4,D30*CAP/$D$4,IF(CAP&gt;=$G$4,G30*CAP/$G$4,INDEX($D30:$G30,$D$3)+$E$3*(INDEX($D30:$G30,$D$3+1)-INDEX($D30:$G30,$D$3))))</f>
        <v/>
      </c>
      <c r="N30" s="39" t="inlineStr"/>
    </row>
    <row r="31">
      <c r="A31" s="40" t="n"/>
      <c r="B31" s="40" t="n"/>
      <c r="C31" s="40" t="inlineStr">
        <is>
          <t>المجموع (محسوب من الجدول)</t>
        </is>
      </c>
      <c r="D31" s="41">
        <f>SUM(D5:D30)</f>
        <v/>
      </c>
      <c r="E31" s="41">
        <f>SUM(E5:E30)</f>
        <v/>
      </c>
      <c r="F31" s="41">
        <f>SUM(F5:F30)</f>
        <v/>
      </c>
      <c r="G31" s="41">
        <f>SUM(G5:G30)</f>
        <v/>
      </c>
      <c r="H31" s="41">
        <f>SUM(H5:H30)</f>
        <v/>
      </c>
      <c r="I31" s="42">
        <f>SUM(I5:I30)</f>
        <v/>
      </c>
      <c r="J31" s="41">
        <f>SUM(J5:J30)</f>
        <v/>
      </c>
      <c r="K31" s="43">
        <f>IF(H31=0,"",I31/H31)</f>
        <v/>
      </c>
      <c r="L31" s="42" t="n"/>
      <c r="M31" s="42">
        <f>SUM(M5:M30)</f>
        <v/>
      </c>
      <c r="N31" s="42" t="n"/>
    </row>
    <row r="32">
      <c r="A32" s="44" t="n"/>
      <c r="B32" s="44" t="n"/>
      <c r="C32" s="44" t="inlineStr">
        <is>
          <t>المجموع المنشور في الدليل</t>
        </is>
      </c>
      <c r="D32" s="44" t="n">
        <v>64</v>
      </c>
      <c r="E32" s="44" t="n">
        <v>128</v>
      </c>
      <c r="F32" s="44" t="n">
        <v>256</v>
      </c>
      <c r="G32" s="44" t="n">
        <v>384</v>
      </c>
    </row>
    <row r="33">
      <c r="A33" s="44" t="n"/>
      <c r="B33" s="44" t="n"/>
      <c r="C33" s="44" t="inlineStr">
        <is>
          <t>الفرق (محسوب − منشور)</t>
        </is>
      </c>
      <c r="D33" s="44">
        <f>D31-D32</f>
        <v/>
      </c>
      <c r="E33" s="44">
        <f>E31-E32</f>
        <v/>
      </c>
      <c r="F33" s="44">
        <f>F31-F32</f>
        <v/>
      </c>
      <c r="G33" s="44">
        <f>G31-G32</f>
        <v/>
      </c>
    </row>
  </sheetData>
  <mergeCells count="2">
    <mergeCell ref="A2:N2"/>
    <mergeCell ref="A1:N1"/>
  </mergeCells>
  <conditionalFormatting sqref="L5:L30">
    <cfRule type="expression" priority="1" dxfId="0">
      <formula>OR(L5="عجز",L5="لا يوجد")</formula>
    </cfRule>
    <cfRule type="expression" priority="2" dxfId="1">
      <formula>L5="مكتمل"</formula>
    </cfRule>
  </conditionalFormatting>
  <pageMargins left="0.75" right="0.75" top="1" bottom="1" header="0.5" footer="0.5"/>
</worksheet>
</file>

<file path=xl/worksheets/sheet17.xml><?xml version="1.0" encoding="utf-8"?>
<worksheet xmlns="http://schemas.openxmlformats.org/spreadsheetml/2006/main">
  <sheetPr>
    <tabColor rgb="001F6F6B"/>
    <outlinePr summaryBelow="1" summaryRight="1"/>
    <pageSetUpPr/>
  </sheetPr>
  <dimension ref="A1:H47"/>
  <sheetViews>
    <sheetView rightToLeft="1"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30" customHeight="1">
      <c r="A1" s="1" t="inlineStr">
        <is>
          <t>معيار الطب الشرعي</t>
        </is>
      </c>
    </row>
    <row r="2" ht="20" customHeight="1">
      <c r="A2" s="2" t="inlineStr">
        <is>
          <t>الملحق (1) — صفحة 31. محركات هذا المعيار مستقلة عن السعة السريرية: عدد عيون ثلاجات الموتى، عدد السكان، وعدد القضايا.</t>
        </is>
      </c>
    </row>
    <row r="4">
      <c r="A4" s="47" t="inlineStr">
        <is>
          <t>مدخلات المحركات (عبّئ الخلايا الصفراء)</t>
        </is>
      </c>
    </row>
    <row r="5">
      <c r="A5" s="48" t="inlineStr">
        <is>
          <t>عدد عيون ثلاجات الموتى</t>
        </is>
      </c>
      <c r="B5" s="34" t="n">
        <v>40</v>
      </c>
      <c r="C5" s="8" t="inlineStr">
        <is>
          <t>◄ الشرائح: أقل من 20 · 20-50 · 51-150 · 151-250 · أكثر من 250</t>
        </is>
      </c>
    </row>
    <row r="6">
      <c r="A6" s="48" t="inlineStr">
        <is>
          <t>عدد السكان المخدومين (بالمليون نسمة)</t>
        </is>
      </c>
      <c r="B6" s="49" t="n">
        <v>1</v>
      </c>
    </row>
    <row r="7">
      <c r="A7" s="48" t="inlineStr">
        <is>
          <t>عدد قضايا الاشتباه بالكحول والمخدرات (سنوياً)</t>
        </is>
      </c>
      <c r="B7" s="34" t="n">
        <v>14000</v>
      </c>
    </row>
    <row r="8">
      <c r="A8" s="48" t="inlineStr">
        <is>
          <t>عدد قضايا الأحراز (سنوياً)</t>
        </is>
      </c>
      <c r="B8" s="34" t="n">
        <v>13000</v>
      </c>
    </row>
    <row r="9">
      <c r="A9" s="48" t="inlineStr">
        <is>
          <t>عدد قضايا السموم الإسعافية (سنوياً)</t>
        </is>
      </c>
      <c r="B9" s="34" t="n">
        <v>2000</v>
      </c>
    </row>
    <row r="11">
      <c r="A11" s="50" t="inlineStr">
        <is>
          <t>أ) إدارة الوفيات — المحرك: عدد عيون ثلاجات الموتى</t>
        </is>
      </c>
    </row>
    <row r="12" ht="30" customHeight="1">
      <c r="A12" s="51" t="inlineStr">
        <is>
          <t>المسمى الوظيفي</t>
        </is>
      </c>
      <c r="B12" s="51" t="inlineStr">
        <is>
          <t>أقل من 20</t>
        </is>
      </c>
      <c r="C12" s="51" t="inlineStr">
        <is>
          <t>20 - 50</t>
        </is>
      </c>
      <c r="D12" s="51" t="inlineStr">
        <is>
          <t>51 - 150</t>
        </is>
      </c>
      <c r="E12" s="51" t="inlineStr">
        <is>
          <t>151 - 250</t>
        </is>
      </c>
      <c r="F12" s="51" t="inlineStr">
        <is>
          <t>أكثر من 250</t>
        </is>
      </c>
      <c r="G12" s="51" t="inlineStr">
        <is>
          <t>الاحتياج المحسوب</t>
        </is>
      </c>
      <c r="H12" s="51" t="inlineStr">
        <is>
          <t>الموجود فعلياً</t>
        </is>
      </c>
    </row>
    <row r="13">
      <c r="A13" s="52" t="inlineStr">
        <is>
          <t>مأمور ثلاجة</t>
        </is>
      </c>
      <c r="B13" s="53" t="n">
        <v>4</v>
      </c>
      <c r="C13" s="53" t="n">
        <v>7</v>
      </c>
      <c r="D13" s="53" t="n">
        <v>10</v>
      </c>
      <c r="E13" s="53" t="n">
        <v>15</v>
      </c>
      <c r="F13" s="53" t="n">
        <v>20</v>
      </c>
      <c r="G13" s="33">
        <f>INDEX(B13:F13,IF($B$5&lt;20,1,IF($B$5&lt;=50,2,IF($B$5&lt;=150,3,IF($B$5&lt;=250,4,5)))))</f>
        <v/>
      </c>
      <c r="H13" s="34" t="n"/>
    </row>
    <row r="14">
      <c r="A14" s="52" t="inlineStr">
        <is>
          <t>إداري</t>
        </is>
      </c>
      <c r="B14" s="53" t="n">
        <v>1</v>
      </c>
      <c r="C14" s="53" t="n">
        <v>2</v>
      </c>
      <c r="D14" s="53" t="n">
        <v>3</v>
      </c>
      <c r="E14" s="53" t="n">
        <v>4</v>
      </c>
      <c r="F14" s="53" t="n">
        <v>5</v>
      </c>
      <c r="G14" s="33">
        <f>INDEX(B14:F14,IF($B$5&lt;20,1,IF($B$5&lt;=50,2,IF($B$5&lt;=150,3,IF($B$5&lt;=250,4,5)))))</f>
        <v/>
      </c>
      <c r="H14" s="34" t="n"/>
    </row>
    <row r="16">
      <c r="A16" s="50" t="inlineStr">
        <is>
          <t>ب) إدارة الطب الشرعي — المحرك: عدد السكان (لكل مليون نسمة)</t>
        </is>
      </c>
    </row>
    <row r="17" ht="30" customHeight="1">
      <c r="A17" s="51" t="inlineStr">
        <is>
          <t>المسمى الوظيفي</t>
        </is>
      </c>
      <c r="B17" s="51" t="inlineStr">
        <is>
          <t>المعدل لكل مليون نسمة</t>
        </is>
      </c>
      <c r="C17" s="51" t="inlineStr">
        <is>
          <t>الاحتياج المحسوب</t>
        </is>
      </c>
      <c r="D17" s="51" t="inlineStr">
        <is>
          <t>الموجود فعلياً</t>
        </is>
      </c>
    </row>
    <row r="18">
      <c r="A18" s="52" t="inlineStr">
        <is>
          <t>طبيب شرعي</t>
        </is>
      </c>
      <c r="B18" s="54" t="n">
        <v>2</v>
      </c>
      <c r="C18" s="33">
        <f>ROUNDUP(B18*$B$6,0)</f>
        <v/>
      </c>
      <c r="D18" s="34" t="n"/>
    </row>
    <row r="19">
      <c r="A19" s="52" t="inlineStr">
        <is>
          <t>أخصائي طبيب شرعي</t>
        </is>
      </c>
      <c r="B19" s="54" t="n">
        <v>3</v>
      </c>
      <c r="C19" s="33">
        <f>ROUNDUP(B19*$B$6,0)</f>
        <v/>
      </c>
      <c r="D19" s="34" t="n"/>
    </row>
    <row r="20">
      <c r="A20" s="52" t="inlineStr">
        <is>
          <t>استشاري طبيب شرعي</t>
        </is>
      </c>
      <c r="B20" s="54" t="n">
        <v>4</v>
      </c>
      <c r="C20" s="33">
        <f>ROUNDUP(B20*$B$6,0)</f>
        <v/>
      </c>
      <c r="D20" s="34" t="n"/>
    </row>
    <row r="21">
      <c r="A21" s="52" t="inlineStr">
        <is>
          <t>فني تمريض (2 لكل استشاري طبيب شرعي)</t>
        </is>
      </c>
      <c r="B21" s="55" t="n">
        <v>2</v>
      </c>
      <c r="C21" s="33">
        <f>C20*2</f>
        <v/>
      </c>
      <c r="D21" s="56" t="n"/>
    </row>
    <row r="22">
      <c r="A22" s="57" t="inlineStr">
        <is>
          <t>ملاحظة تدقيق: مجموع هذا القسم المنشور في الدليل = 11، بينما مجموع المعدلات (2+3+4) = 9؛ الفارق يعادل بند فني تمريض المحتسب مرة أخرى في صفه المستقل.</t>
        </is>
      </c>
    </row>
    <row r="24">
      <c r="A24" s="50" t="inlineStr">
        <is>
          <t>ج) إدارة السموم — حالات الاشتباه بالكحول والمخدرات (لكل 14 ألف قضية)</t>
        </is>
      </c>
    </row>
    <row r="25" ht="30" customHeight="1">
      <c r="A25" s="51" t="inlineStr">
        <is>
          <t>المسمى الوظيفي</t>
        </is>
      </c>
      <c r="B25" s="51" t="inlineStr">
        <is>
          <t>المعدل لكل 14,000 قضية</t>
        </is>
      </c>
      <c r="C25" s="51" t="inlineStr">
        <is>
          <t>الاحتياج المحسوب</t>
        </is>
      </c>
      <c r="D25" s="51" t="inlineStr">
        <is>
          <t>الموجود فعلياً</t>
        </is>
      </c>
    </row>
    <row r="26">
      <c r="A26" s="52" t="inlineStr">
        <is>
          <t>استشاري مختبرات</t>
        </is>
      </c>
      <c r="B26" s="55" t="n">
        <v>1</v>
      </c>
      <c r="C26" s="33">
        <f>ROUNDUP(B26*$B$7/14000,0)</f>
        <v/>
      </c>
      <c r="D26" s="34" t="n"/>
    </row>
    <row r="27">
      <c r="A27" s="52" t="inlineStr">
        <is>
          <t>استشاري سموم شرعية</t>
        </is>
      </c>
      <c r="B27" s="55" t="n">
        <v>1</v>
      </c>
      <c r="C27" s="33">
        <f>ROUNDUP(B27*$B$7/14000,0)</f>
        <v/>
      </c>
      <c r="D27" s="34" t="n"/>
    </row>
    <row r="28">
      <c r="A28" s="52" t="inlineStr">
        <is>
          <t>أخصائي مختبر</t>
        </is>
      </c>
      <c r="B28" s="55" t="n">
        <v>3</v>
      </c>
      <c r="C28" s="33">
        <f>ROUNDUP(B28*$B$7/14000,0)</f>
        <v/>
      </c>
      <c r="D28" s="34" t="n"/>
    </row>
    <row r="29">
      <c r="A29" s="52" t="inlineStr">
        <is>
          <t>فني مختبر</t>
        </is>
      </c>
      <c r="B29" s="55" t="n">
        <v>3</v>
      </c>
      <c r="C29" s="33">
        <f>ROUNDUP(B29*$B$7/14000,0)</f>
        <v/>
      </c>
      <c r="D29" s="34" t="n"/>
    </row>
    <row r="30">
      <c r="A30" s="52" t="inlineStr">
        <is>
          <t>صيدلي استشاري</t>
        </is>
      </c>
      <c r="B30" s="55" t="n">
        <v>1</v>
      </c>
      <c r="C30" s="33">
        <f>ROUNDUP(B30*$B$7/14000,0)</f>
        <v/>
      </c>
      <c r="D30" s="34" t="n"/>
    </row>
    <row r="31">
      <c r="A31" s="52" t="inlineStr">
        <is>
          <t>فني صيدلي</t>
        </is>
      </c>
      <c r="B31" s="55" t="n">
        <v>3</v>
      </c>
      <c r="C31" s="33">
        <f>ROUNDUP(B31*$B$7/14000,0)</f>
        <v/>
      </c>
      <c r="D31" s="34" t="n"/>
    </row>
    <row r="33">
      <c r="A33" s="50" t="inlineStr">
        <is>
          <t>د) إدارة السموم — قضايا الأحراز (لكل 13 ألف قضية)</t>
        </is>
      </c>
    </row>
    <row r="34" ht="30" customHeight="1">
      <c r="A34" s="51" t="inlineStr">
        <is>
          <t>المسمى الوظيفي</t>
        </is>
      </c>
      <c r="B34" s="51" t="inlineStr">
        <is>
          <t>المعدل لكل 13,000 قضية</t>
        </is>
      </c>
      <c r="C34" s="51" t="inlineStr">
        <is>
          <t>الاحتياج المحسوب</t>
        </is>
      </c>
      <c r="D34" s="51" t="inlineStr">
        <is>
          <t>الموجود فعلياً</t>
        </is>
      </c>
    </row>
    <row r="35">
      <c r="A35" s="52" t="inlineStr">
        <is>
          <t>استشاري سموم</t>
        </is>
      </c>
      <c r="B35" s="55" t="n">
        <v>1</v>
      </c>
      <c r="C35" s="33">
        <f>ROUNDUP(B35*$B$8/13000,0)</f>
        <v/>
      </c>
      <c r="D35" s="34" t="n"/>
    </row>
    <row r="36">
      <c r="A36" s="52" t="inlineStr">
        <is>
          <t>أخصائي أول سموم وعلوم جنائية</t>
        </is>
      </c>
      <c r="B36" s="55" t="n">
        <v>5</v>
      </c>
      <c r="C36" s="33">
        <f>ROUNDUP(B36*$B$8/13000,0)</f>
        <v/>
      </c>
      <c r="D36" s="34" t="n"/>
    </row>
    <row r="37">
      <c r="A37" s="52" t="inlineStr">
        <is>
          <t>أخصائي مختبر</t>
        </is>
      </c>
      <c r="B37" s="55" t="n">
        <v>10</v>
      </c>
      <c r="C37" s="33">
        <f>ROUNDUP(B37*$B$8/13000,0)</f>
        <v/>
      </c>
      <c r="D37" s="34" t="n"/>
    </row>
    <row r="38">
      <c r="A38" s="52" t="inlineStr">
        <is>
          <t>فني مختبر</t>
        </is>
      </c>
      <c r="B38" s="55" t="n">
        <v>10</v>
      </c>
      <c r="C38" s="33">
        <f>ROUNDUP(B38*$B$8/13000,0)</f>
        <v/>
      </c>
      <c r="D38" s="34" t="n"/>
    </row>
    <row r="39">
      <c r="A39" s="52" t="inlineStr">
        <is>
          <t>صيدلي أول</t>
        </is>
      </c>
      <c r="B39" s="55" t="n">
        <v>7</v>
      </c>
      <c r="C39" s="33">
        <f>ROUNDUP(B39*$B$8/13000,0)</f>
        <v/>
      </c>
      <c r="D39" s="34" t="n"/>
    </row>
    <row r="40">
      <c r="A40" s="52" t="inlineStr">
        <is>
          <t>صيدلي</t>
        </is>
      </c>
      <c r="B40" s="55" t="n">
        <v>4</v>
      </c>
      <c r="C40" s="33">
        <f>ROUNDUP(B40*$B$8/13000,0)</f>
        <v/>
      </c>
      <c r="D40" s="34" t="n"/>
    </row>
    <row r="42">
      <c r="A42" s="50" t="inlineStr">
        <is>
          <t>هـ) إدارة السموم — السموم الإسعافية (لكل ألفي قضية)</t>
        </is>
      </c>
    </row>
    <row r="43" ht="30" customHeight="1">
      <c r="A43" s="51" t="inlineStr">
        <is>
          <t>المسمى الوظيفي</t>
        </is>
      </c>
      <c r="B43" s="51" t="inlineStr">
        <is>
          <t>المعدل لكل 2,000 قضية</t>
        </is>
      </c>
      <c r="C43" s="51" t="inlineStr">
        <is>
          <t>الاحتياج المحسوب</t>
        </is>
      </c>
      <c r="D43" s="51" t="inlineStr">
        <is>
          <t>الموجود فعلياً</t>
        </is>
      </c>
    </row>
    <row r="44">
      <c r="A44" s="52" t="inlineStr">
        <is>
          <t>استشاري سموم</t>
        </is>
      </c>
      <c r="B44" s="55" t="n">
        <v>1</v>
      </c>
      <c r="C44" s="33">
        <f>ROUNDUP(B44*$B$9/2000,0)</f>
        <v/>
      </c>
      <c r="D44" s="34" t="n"/>
    </row>
    <row r="45">
      <c r="A45" s="52" t="inlineStr">
        <is>
          <t>استشاري مختبر</t>
        </is>
      </c>
      <c r="B45" s="55" t="n">
        <v>1</v>
      </c>
      <c r="C45" s="33">
        <f>ROUNDUP(B45*$B$9/2000,0)</f>
        <v/>
      </c>
      <c r="D45" s="34" t="n"/>
    </row>
    <row r="46">
      <c r="A46" s="52" t="inlineStr">
        <is>
          <t>أخصائي مختبر</t>
        </is>
      </c>
      <c r="B46" s="55" t="n">
        <v>2</v>
      </c>
      <c r="C46" s="33">
        <f>ROUNDUP(B46*$B$9/2000,0)</f>
        <v/>
      </c>
      <c r="D46" s="34" t="n"/>
    </row>
    <row r="47">
      <c r="A47" s="52" t="inlineStr">
        <is>
          <t>فني مختبر</t>
        </is>
      </c>
      <c r="B47" s="55" t="n">
        <v>1</v>
      </c>
      <c r="C47" s="33">
        <f>ROUNDUP(B47*$B$9/2000,0)</f>
        <v/>
      </c>
      <c r="D47" s="34" t="n"/>
    </row>
  </sheetData>
  <mergeCells count="4">
    <mergeCell ref="A4:H4"/>
    <mergeCell ref="A2:H2"/>
    <mergeCell ref="A22:H22"/>
    <mergeCell ref="A1:H1"/>
  </mergeCells>
  <pageMargins left="0.75" right="0.75" top="1" bottom="1" header="0.5" footer="0.5"/>
</worksheet>
</file>

<file path=xl/worksheets/sheet18.xml><?xml version="1.0" encoding="utf-8"?>
<worksheet xmlns="http://schemas.openxmlformats.org/spreadsheetml/2006/main">
  <sheetPr>
    <tabColor rgb="001F6F6B"/>
    <outlinePr summaryBelow="1" summaryRight="1"/>
    <pageSetUpPr/>
  </sheetPr>
  <dimension ref="A1:F41"/>
  <sheetViews>
    <sheetView rightToLeft="1" workbookViewId="0">
      <selection activeCell="A1" sqref="A1"/>
    </sheetView>
  </sheetViews>
  <sheetFormatPr baseColWidth="8" defaultRowHeight="15"/>
  <cols>
    <col width="46" customWidth="1" min="1" max="1"/>
    <col width="20" customWidth="1" min="2" max="2"/>
    <col width="30" customWidth="1" min="3" max="3"/>
    <col width="18" customWidth="1" min="4" max="4"/>
    <col width="18" customWidth="1" min="5" max="5"/>
    <col width="18" customWidth="1" min="6" max="6"/>
  </cols>
  <sheetData>
    <row r="1" ht="30" customHeight="1">
      <c r="A1" s="1" t="inlineStr">
        <is>
          <t>حاسبة توزيع الأسرة ونسب القوى العاملة</t>
        </is>
      </c>
    </row>
    <row r="2" ht="20" customHeight="1">
      <c r="A2" s="2" t="inlineStr">
        <is>
          <t>مبنية على الإيضاحات 13-15 و 22-29 من الدليل — تعتمد السعة السريرية ونوع المستشفى من لوحة التحكم</t>
        </is>
      </c>
    </row>
    <row r="4" ht="22" customHeight="1">
      <c r="A4" s="47" t="inlineStr">
        <is>
          <t>① توزيع أسرة العناية المركزة والطوارئ</t>
        </is>
      </c>
    </row>
    <row r="5" ht="22" customHeight="1">
      <c r="A5" s="58" t="inlineStr">
        <is>
          <t>السعة السريرية المدخلة</t>
        </is>
      </c>
      <c r="B5" s="33">
        <f>CAP</f>
        <v/>
      </c>
      <c r="C5" s="59" t="inlineStr">
        <is>
          <t>من لوحة التحكم</t>
        </is>
      </c>
    </row>
    <row r="6" ht="22" customHeight="1">
      <c r="A6" s="60" t="inlineStr">
        <is>
          <t>إجمالي أسرة العناية المركزة (20% من السعة)</t>
        </is>
      </c>
      <c r="B6" s="33">
        <f>ROUND(CAP*20%,0)</f>
        <v/>
      </c>
      <c r="C6" s="59" t="inlineStr">
        <is>
          <t>إيضاحان 13 و 14: نسبة أسرة العناية المركزة لجميع الفئات = 20% من السعة السريرية</t>
        </is>
      </c>
    </row>
    <row r="7" ht="22" customHeight="1">
      <c r="A7" s="60" t="inlineStr">
        <is>
          <t>أسرة عناية حديثي الولادة (NICU)</t>
        </is>
      </c>
      <c r="B7" s="33">
        <f>ROUND(CAP*IF(HTYPE="مستشفى ولادة وأطفال",13%,IF(CAP&lt;=100,11%,10%)),0)</f>
        <v/>
      </c>
      <c r="C7" s="59" t="inlineStr">
        <is>
          <t>عام: 10% (و 11% إذا كانت السعة 100 سرير فأقل) · ولادة وأطفال: 13%</t>
        </is>
      </c>
    </row>
    <row r="8" ht="22" customHeight="1">
      <c r="A8" s="60" t="inlineStr">
        <is>
          <t>أسرة عناية الكبار (ICU)</t>
        </is>
      </c>
      <c r="B8" s="33">
        <f>ROUND(CAP*IF(HTYPE="مستشفى ولادة وأطفال",0%,IF(CAP&lt;=100,9%,7%)),0)</f>
        <v/>
      </c>
      <c r="C8" s="59" t="inlineStr">
        <is>
          <t>عام: 7% (و 9% إذا كانت السعة 100 سرير فأقل) · لا تنطبق على مستشفيات الولادة والأطفال</t>
        </is>
      </c>
    </row>
    <row r="9" ht="22" customHeight="1">
      <c r="A9" s="60" t="inlineStr">
        <is>
          <t>أسرة عناية الأطفال (PICU)</t>
        </is>
      </c>
      <c r="B9" s="33">
        <f>ROUND(CAP*IF(HTYPE="مستشفى ولادة وأطفال",7%,IF(CAP&lt;=100,0%,3%)),0)</f>
        <v/>
      </c>
      <c r="C9" s="59" t="inlineStr">
        <is>
          <t>عام: 3% (ولا تُخصص عند 100 سرير فأقل) · ولادة وأطفال: 7%</t>
        </is>
      </c>
    </row>
    <row r="10" ht="22" customHeight="1">
      <c r="A10" s="60" t="inlineStr">
        <is>
          <t>أسرة قسم الطوارئ (حد أدنى 10%)</t>
        </is>
      </c>
      <c r="B10" s="33">
        <f>ROUNDUP(CAP*10%,0)</f>
        <v/>
      </c>
      <c r="C10" s="59" t="inlineStr">
        <is>
          <t>إيضاح 15: لا تقل عن 10% من أسرة المستشفى ويمكن الزيادة بحسب عدد الزيارات</t>
        </is>
      </c>
    </row>
    <row r="12" ht="22" customHeight="1">
      <c r="A12" s="47" t="inlineStr">
        <is>
          <t>② حاسبة التمريض (إيضاحات 11 و 28-30)</t>
        </is>
      </c>
    </row>
    <row r="13" ht="22" customHeight="1">
      <c r="A13" s="60" t="inlineStr">
        <is>
          <t>النسبة المعتمدة لكل سرير — الحد الأدنى</t>
        </is>
      </c>
      <c r="B13" s="61">
        <f>IF(MOBILEBEDS="نعم",1.68,2.84)</f>
        <v/>
      </c>
      <c r="C13" s="59" t="inlineStr">
        <is>
          <t>إيضاح 28: مع اعتماد الأسرة المتحركة 1.68-2.84 · إيضاح 29: بدونها 2.84-3.36</t>
        </is>
      </c>
    </row>
    <row r="14" ht="22" customHeight="1">
      <c r="A14" s="60" t="inlineStr">
        <is>
          <t>النسبة المعتمدة لكل سرير — الحد الأعلى</t>
        </is>
      </c>
      <c r="B14" s="61">
        <f>IF(MOBILEBEDS="نعم",2.84,3.36)</f>
        <v/>
      </c>
      <c r="C14" s="59" t="inlineStr"/>
    </row>
    <row r="15" ht="22" customHeight="1">
      <c r="A15" s="60" t="inlineStr">
        <is>
          <t>إجمالي وظائف التمريض — الحد الأدنى</t>
        </is>
      </c>
      <c r="B15" s="33">
        <f>ROUNDUP(CAP*B13,0)</f>
        <v/>
      </c>
      <c r="C15" s="59" t="inlineStr"/>
    </row>
    <row r="16" ht="22" customHeight="1">
      <c r="A16" s="60" t="inlineStr">
        <is>
          <t>إجمالي وظائف التمريض — الحد الأعلى</t>
        </is>
      </c>
      <c r="B16" s="33">
        <f>ROUNDUP(CAP*B14,0)</f>
        <v/>
      </c>
      <c r="C16" s="59" t="inlineStr"/>
    </row>
    <row r="17" ht="22" customHeight="1">
      <c r="A17" s="58" t="inlineStr">
        <is>
          <t>إجمالي وظائف التمريض حسب جداول الدليل</t>
        </is>
      </c>
      <c r="B17" s="33">
        <f>INDEX('مصفوفة الحساب'!$B$4:$E$11,MATCH("تمريض",'مصفوفة الحساب'!$A$4:$A$11,0),MATCH(HTYPE,'مصفوفة الحساب'!$B$2:$E$2,0))</f>
        <v/>
      </c>
      <c r="C17" s="59" t="inlineStr">
        <is>
          <t>القيمة المعتمدة في هذا النموذج — مأخوذة من أوراق المعايير</t>
        </is>
      </c>
    </row>
    <row r="18" ht="22" customHeight="1">
      <c r="A18" s="60" t="inlineStr">
        <is>
          <t>فني تمريض (30%)</t>
        </is>
      </c>
      <c r="B18" s="33">
        <f>ROUND(B17*30%,0)</f>
        <v/>
      </c>
      <c r="C18" s="59" t="inlineStr">
        <is>
          <t>إيضاح 11: نسبة مؤقتة حتى تقاعد الكادر الحالي ثم تُحدَّث تدريجياً وتُضاف إلى أخصائي</t>
        </is>
      </c>
    </row>
    <row r="19" ht="22" customHeight="1">
      <c r="A19" s="60" t="inlineStr">
        <is>
          <t>أخصائي تمريض (60% − نسبة الاستشاري)</t>
        </is>
      </c>
      <c r="B19" s="33">
        <f>ROUND(B17*(60%-IF(CAP&gt;=300,0.5%,0)),0)</f>
        <v/>
      </c>
      <c r="C19" s="59" t="inlineStr">
        <is>
          <t>إيضاح 30: عند أقل من 300 سرير تُضاف نسبة 0.5% إلى أخصائي تمريض</t>
        </is>
      </c>
    </row>
    <row r="20" ht="22" customHeight="1">
      <c r="A20" s="60" t="inlineStr">
        <is>
          <t>أخصائي أول تمريض (10%)</t>
        </is>
      </c>
      <c r="B20" s="33">
        <f>ROUND(B17*10%,0)</f>
        <v/>
      </c>
      <c r="C20" s="59" t="inlineStr"/>
    </row>
    <row r="21" ht="22" customHeight="1">
      <c r="A21" s="60" t="inlineStr">
        <is>
          <t>استشاري تمريض (0.5%)</t>
        </is>
      </c>
      <c r="B21" s="33">
        <f>IF(CAP&gt;=300,ROUND(B17*0.5%,0),0)</f>
        <v/>
      </c>
      <c r="C21" s="59" t="inlineStr">
        <is>
          <t>إيضاح 30: تبدأ من 300 سرير وما فوق</t>
        </is>
      </c>
    </row>
    <row r="23" ht="22" customHeight="1">
      <c r="A23" s="47" t="inlineStr">
        <is>
          <t>③ حاسبة العلاج التنفسي (إيضاحات 22-25)</t>
        </is>
      </c>
    </row>
    <row r="24" ht="22" customHeight="1">
      <c r="A24" s="60" t="inlineStr">
        <is>
          <t>إجمالي القوى العاملة للعلاج التنفسي</t>
        </is>
      </c>
      <c r="B24" s="33">
        <f>ROUNDUP(CAP/5,0)</f>
        <v/>
      </c>
      <c r="C24" s="59" t="inlineStr">
        <is>
          <t>إيضاح 25: تم أخذ المتوسط بواقع 1 أخصائي لكل 5 أسرة</t>
        </is>
      </c>
    </row>
    <row r="25" ht="22" customHeight="1">
      <c r="A25" s="60" t="inlineStr">
        <is>
          <t>فني علاج تنفسي (20%)</t>
        </is>
      </c>
      <c r="B25" s="33">
        <f>ROUND(B24*20%,0)</f>
        <v/>
      </c>
      <c r="C25" s="59" t="inlineStr">
        <is>
          <t>إيضاح 22</t>
        </is>
      </c>
    </row>
    <row r="26" ht="22" customHeight="1">
      <c r="A26" s="60" t="inlineStr">
        <is>
          <t>أخصائي أول علاج تنفسي (20%)</t>
        </is>
      </c>
      <c r="B26" s="33">
        <f>ROUND(B24*20%,0)</f>
        <v/>
      </c>
      <c r="C26" s="59" t="inlineStr">
        <is>
          <t>إيضاح 22</t>
        </is>
      </c>
    </row>
    <row r="27" ht="22" customHeight="1">
      <c r="A27" s="60" t="inlineStr">
        <is>
          <t>أخصائي علاج تنفسي (55%، أو 60% عند عدم وجود أسرة عناية)</t>
        </is>
      </c>
      <c r="B27" s="33">
        <f>ROUND(B24*IF(B6=0,60%,55%),0)</f>
        <v/>
      </c>
      <c r="C27" s="59" t="inlineStr">
        <is>
          <t>إيضاح 23</t>
        </is>
      </c>
    </row>
    <row r="28" ht="22" customHeight="1">
      <c r="A28" s="60" t="inlineStr">
        <is>
          <t>استشاري علاج تنفسي (5%)</t>
        </is>
      </c>
      <c r="B28" s="33">
        <f>IF(B6=0,0,ROUND(B24*5%,0))</f>
        <v/>
      </c>
      <c r="C28" s="59" t="inlineStr">
        <is>
          <t>إيضاح 23: فئة الاستشاري تكون في المستشفيات التي بها أسرة عناية مركزة فقط</t>
        </is>
      </c>
    </row>
    <row r="29" ht="22" customHeight="1">
      <c r="A29" s="60" t="inlineStr">
        <is>
          <t>إضافة عيادات العلاج التنفسي — عدد العيادات</t>
        </is>
      </c>
      <c r="B29" s="34" t="n">
        <v>0</v>
      </c>
      <c r="C29" s="59" t="inlineStr">
        <is>
          <t>إيضاح 24: أدخل عدد العيادات — يُؤمَّن 2 أخصائي لكل عيادة + أخصائي أول مشرف</t>
        </is>
      </c>
    </row>
    <row r="30" ht="22" customHeight="1">
      <c r="A30" s="60" t="inlineStr">
        <is>
          <t>أخصائي علاج تنفسي إضافي للعيادات</t>
        </is>
      </c>
      <c r="B30" s="33">
        <f>B29*2</f>
        <v/>
      </c>
      <c r="C30" s="59" t="inlineStr">
        <is>
          <t>إيضاح 24</t>
        </is>
      </c>
    </row>
    <row r="31" ht="22" customHeight="1">
      <c r="A31" s="60" t="inlineStr">
        <is>
          <t>أخصائي أول علاج تنفسي مشرف على العيادات</t>
        </is>
      </c>
      <c r="B31" s="33">
        <f>IF(B29&gt;0,1,0)</f>
        <v/>
      </c>
      <c r="C31" s="59" t="inlineStr">
        <is>
          <t>إيضاح 24</t>
        </is>
      </c>
    </row>
    <row r="33" ht="22" customHeight="1">
      <c r="A33" s="47" t="inlineStr">
        <is>
          <t>④ مقارنة المعدلات لكل سرير مع المعدلات المنشورة في الدليل</t>
        </is>
      </c>
    </row>
    <row r="34" ht="32" customHeight="1">
      <c r="A34" s="51" t="inlineStr">
        <is>
          <t>الفئة</t>
        </is>
      </c>
      <c r="B34" s="51" t="inlineStr">
        <is>
          <t>معدل مستشفاك (احتياج ÷ سعة)</t>
        </is>
      </c>
      <c r="C34" s="51" t="inlineStr">
        <is>
          <t>المعدل المحدّث المنشور</t>
        </is>
      </c>
      <c r="D34" s="51" t="inlineStr">
        <is>
          <t>التقييم</t>
        </is>
      </c>
    </row>
    <row r="35">
      <c r="A35" s="62" t="inlineStr">
        <is>
          <t>الأطباء</t>
        </is>
      </c>
      <c r="B35" s="61">
        <f>IF(CAP=0,"",INDEX('مصفوفة الحساب'!$B$4:$E$11,MATCH("طبيب",'مصفوفة الحساب'!$A$4:$A$11,0),MATCH(HTYPE,'مصفوفة الحساب'!$B$2:$E$2,0))/CAP)</f>
        <v/>
      </c>
      <c r="C35" s="63" t="inlineStr">
        <is>
          <t>1.55 طبيب لكل سرير</t>
        </is>
      </c>
      <c r="D35" s="16">
        <f>IF(B35="","",IF(B35&lt;1.55,"أقل من المعدل",IF(B35&gt;1.55,"أعلى من المعدل","ضمن المعدل")))</f>
        <v/>
      </c>
    </row>
    <row r="36">
      <c r="A36" s="62" t="inlineStr">
        <is>
          <t>التمريض</t>
        </is>
      </c>
      <c r="B36" s="61">
        <f>IF(CAP=0,"",INDEX('مصفوفة الحساب'!$B$4:$E$11,MATCH("تمريض",'مصفوفة الحساب'!$A$4:$A$11,0),MATCH(HTYPE,'مصفوفة الحساب'!$B$2:$E$2,0))/CAP)</f>
        <v/>
      </c>
      <c r="C36" s="63" t="inlineStr">
        <is>
          <t>2.84 – 3.36 ممرضة لكل سرير</t>
        </is>
      </c>
      <c r="D36" s="16">
        <f>IF(B36="","",IF(B36&lt;2.84,"أقل من المعدل",IF(B36&gt;3.36,"أعلى من المعدل","ضمن المعدل")))</f>
        <v/>
      </c>
    </row>
    <row r="37">
      <c r="A37" s="62" t="inlineStr">
        <is>
          <t>القبالة</t>
        </is>
      </c>
      <c r="B37" s="61">
        <f>IF(CAP=0,"",INDEX('مصفوفة الحساب'!$B$4:$E$11,MATCH("قبالة",'مصفوفة الحساب'!$A$4:$A$11,0),MATCH(HTYPE,'مصفوفة الحساب'!$B$2:$E$2,0))/CAP)</f>
        <v/>
      </c>
      <c r="C37" s="63" t="inlineStr">
        <is>
          <t>0.20 قابلة لكل سرير</t>
        </is>
      </c>
      <c r="D37" s="16">
        <f>IF(B37="","",IF(B37&lt;0.2,"أقل من المعدل",IF(B37&gt;0.2,"أعلى من المعدل","ضمن المعدل")))</f>
        <v/>
      </c>
    </row>
    <row r="38">
      <c r="A38" s="62" t="inlineStr">
        <is>
          <t>الصيادلة</t>
        </is>
      </c>
      <c r="B38" s="61">
        <f>IF(CAP=0,"",INDEX('مصفوفة الحساب'!$B$4:$E$11,MATCH("صيدلي",'مصفوفة الحساب'!$A$4:$A$11,0),MATCH(HTYPE,'مصفوفة الحساب'!$B$2:$E$2,0))/CAP)</f>
        <v/>
      </c>
      <c r="C38" s="63" t="inlineStr">
        <is>
          <t>0.68 صيدلي لكل سرير</t>
        </is>
      </c>
      <c r="D38" s="16">
        <f>IF(B38="","",IF(B38&lt;0.68,"أقل من المعدل",IF(B38&gt;0.68,"أعلى من المعدل","ضمن المعدل")))</f>
        <v/>
      </c>
    </row>
    <row r="39">
      <c r="A39" s="62" t="inlineStr">
        <is>
          <t>الإداريون</t>
        </is>
      </c>
      <c r="B39" s="61">
        <f>IF(CAP=0,"",INDEX('مصفوفة الحساب'!$B$4:$E$11,MATCH("إداري",'مصفوفة الحساب'!$A$4:$A$11,0),MATCH(HTYPE,'مصفوفة الحساب'!$B$2:$E$2,0))/CAP)</f>
        <v/>
      </c>
      <c r="C39" s="63" t="inlineStr">
        <is>
          <t>0.68 – 2.00 لكل سرير حسب الفئة</t>
        </is>
      </c>
      <c r="D39" s="16">
        <f>IF(B39="","",IF(B39&lt;0.68,"أقل من المعدل",IF(B39&gt;2.0,"أعلى من المعدل","ضمن المعدل")))</f>
        <v/>
      </c>
    </row>
    <row r="41" ht="40" customHeight="1">
      <c r="A41" s="64" t="inlineStr">
        <is>
          <t>تنبيه منهجي: المعدلات المنشورة في الدليل محسوبة على مجموع المستشفيات النموذجية السبعة (1700 سرير) وليست معدلاً لكل شريحة على حدة، لذلك قد يختلف معدل مستشفاك عنها دون أن يعني ذلك خللاً — القيمة المُلزِمة هي أعداد الجداول التفصيلية لا المعدل.</t>
        </is>
      </c>
    </row>
  </sheetData>
  <mergeCells count="30">
    <mergeCell ref="A41:F41"/>
    <mergeCell ref="C17:F17"/>
    <mergeCell ref="C8:F8"/>
    <mergeCell ref="C7:F7"/>
    <mergeCell ref="A12:F12"/>
    <mergeCell ref="C19:F19"/>
    <mergeCell ref="C28:F28"/>
    <mergeCell ref="C13:F13"/>
    <mergeCell ref="A2:F2"/>
    <mergeCell ref="C18:F18"/>
    <mergeCell ref="A33:F33"/>
    <mergeCell ref="A23:F23"/>
    <mergeCell ref="C6:F6"/>
    <mergeCell ref="C30:F30"/>
    <mergeCell ref="C15:F15"/>
    <mergeCell ref="A4:F4"/>
    <mergeCell ref="C24:F24"/>
    <mergeCell ref="C5:F5"/>
    <mergeCell ref="C14:F14"/>
    <mergeCell ref="C20:F20"/>
    <mergeCell ref="C26:F26"/>
    <mergeCell ref="C29:F29"/>
    <mergeCell ref="C16:F16"/>
    <mergeCell ref="C25:F25"/>
    <mergeCell ref="C10:F10"/>
    <mergeCell ref="C9:F9"/>
    <mergeCell ref="C31:F31"/>
    <mergeCell ref="A1:F1"/>
    <mergeCell ref="C21:F21"/>
    <mergeCell ref="C27:F27"/>
  </mergeCells>
  <pageMargins left="0.75" right="0.75" top="1" bottom="1" header="0.5" footer="0.5"/>
</worksheet>
</file>

<file path=xl/worksheets/sheet19.xml><?xml version="1.0" encoding="utf-8"?>
<worksheet xmlns="http://schemas.openxmlformats.org/spreadsheetml/2006/main">
  <sheetPr>
    <tabColor rgb="00BF8F00"/>
    <outlinePr summaryBelow="1" summaryRight="1"/>
    <pageSetUpPr/>
  </sheetPr>
  <dimension ref="A1:F75"/>
  <sheetViews>
    <sheetView rightToLeft="1" workbookViewId="0">
      <pane ySplit="4" topLeftCell="A5"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s>
  <sheetData>
    <row r="1" ht="30" customHeight="1">
      <c r="A1" s="1" t="inlineStr">
        <is>
          <t>نطاق الخدمات المعتمد لكل سعة سريرية (المستشفيات العامة)</t>
        </is>
      </c>
    </row>
    <row r="2" ht="20" customHeight="1">
      <c r="A2" s="2" t="inlineStr">
        <is>
          <t>الملحق (1) — صفحات 41-44. إيضاح 42: يشترط لتطبيق المعيار توفّر نطاق الخدمة في المنشأة.</t>
        </is>
      </c>
    </row>
    <row r="4">
      <c r="A4" s="42" t="inlineStr">
        <is>
          <t>50 سرير</t>
        </is>
      </c>
      <c r="B4" s="42" t="inlineStr">
        <is>
          <t>100 سرير</t>
        </is>
      </c>
      <c r="C4" s="42" t="inlineStr">
        <is>
          <t>150 سرير</t>
        </is>
      </c>
      <c r="D4" s="42" t="inlineStr">
        <is>
          <t>200 سرير</t>
        </is>
      </c>
      <c r="E4" s="42" t="inlineStr">
        <is>
          <t>300 سرير</t>
        </is>
      </c>
      <c r="F4" s="42" t="inlineStr">
        <is>
          <t>400 / 500 سرير</t>
        </is>
      </c>
    </row>
    <row r="5">
      <c r="A5" s="65" t="inlineStr">
        <is>
          <t>1. طب الباطنة</t>
        </is>
      </c>
      <c r="B5" s="65" t="inlineStr">
        <is>
          <t>1. طب الباطنة</t>
        </is>
      </c>
      <c r="C5" s="65" t="inlineStr">
        <is>
          <t>1. طب الباطنة</t>
        </is>
      </c>
      <c r="D5" s="65" t="inlineStr">
        <is>
          <t>1. طب الباطنة</t>
        </is>
      </c>
      <c r="E5" s="65" t="inlineStr">
        <is>
          <t>1. طب الباطنة</t>
        </is>
      </c>
      <c r="F5" s="65" t="inlineStr">
        <is>
          <t>1. طب الباطنة</t>
        </is>
      </c>
    </row>
    <row r="6">
      <c r="A6" s="65" t="inlineStr">
        <is>
          <t>2. رعاية منزلية</t>
        </is>
      </c>
      <c r="B6" s="65" t="inlineStr">
        <is>
          <t>2. رعاية منزلية</t>
        </is>
      </c>
      <c r="C6" s="65" t="inlineStr">
        <is>
          <t>2. رعاية منزلية</t>
        </is>
      </c>
      <c r="D6" s="65" t="inlineStr">
        <is>
          <t>2. رعاية منزلية</t>
        </is>
      </c>
      <c r="E6" s="65" t="inlineStr">
        <is>
          <t>2. رعاية منزلية</t>
        </is>
      </c>
      <c r="F6" s="65" t="inlineStr">
        <is>
          <t>2. رعاية منزلية</t>
        </is>
      </c>
    </row>
    <row r="7">
      <c r="A7" s="65" t="inlineStr">
        <is>
          <t>3. كلى</t>
        </is>
      </c>
      <c r="B7" s="65" t="inlineStr">
        <is>
          <t>3. قلب</t>
        </is>
      </c>
      <c r="C7" s="65" t="inlineStr">
        <is>
          <t>3. قلب</t>
        </is>
      </c>
      <c r="D7" s="65" t="inlineStr">
        <is>
          <t>3. قلب</t>
        </is>
      </c>
      <c r="E7" s="65" t="inlineStr">
        <is>
          <t>3. قلب</t>
        </is>
      </c>
      <c r="F7" s="65" t="inlineStr">
        <is>
          <t>3. قلب</t>
        </is>
      </c>
    </row>
    <row r="8">
      <c r="A8" s="65" t="inlineStr">
        <is>
          <t>4. غدد صماء وسكري</t>
        </is>
      </c>
      <c r="B8" s="65" t="inlineStr">
        <is>
          <t>4. جهاز هضمي وكبد</t>
        </is>
      </c>
      <c r="C8" s="65" t="inlineStr">
        <is>
          <t>4. جهاز هضمي وكبد</t>
        </is>
      </c>
      <c r="D8" s="65" t="inlineStr">
        <is>
          <t>4. جهاز هضمي وكبد</t>
        </is>
      </c>
      <c r="E8" s="65" t="inlineStr">
        <is>
          <t>4. جهاز هضمي وكبد</t>
        </is>
      </c>
      <c r="F8" s="65" t="inlineStr">
        <is>
          <t>4. جهاز هضمي وكبد</t>
        </is>
      </c>
    </row>
    <row r="9">
      <c r="A9" s="65" t="inlineStr">
        <is>
          <t>5. أمراض الصدرية</t>
        </is>
      </c>
      <c r="B9" s="65" t="inlineStr">
        <is>
          <t>5. كلى</t>
        </is>
      </c>
      <c r="C9" s="65" t="inlineStr">
        <is>
          <t>5. أعصاب</t>
        </is>
      </c>
      <c r="D9" s="65" t="inlineStr">
        <is>
          <t>5. أعصاب</t>
        </is>
      </c>
      <c r="E9" s="65" t="inlineStr">
        <is>
          <t>5. أعصاب</t>
        </is>
      </c>
      <c r="F9" s="65" t="inlineStr">
        <is>
          <t>5. أعصاب</t>
        </is>
      </c>
    </row>
    <row r="10">
      <c r="A10" s="65" t="inlineStr">
        <is>
          <t>6. طب نفسي</t>
        </is>
      </c>
      <c r="B10" s="65" t="inlineStr">
        <is>
          <t>6. غدد صماء وسكري</t>
        </is>
      </c>
      <c r="C10" s="65" t="inlineStr">
        <is>
          <t>6. كلى</t>
        </is>
      </c>
      <c r="D10" s="65" t="inlineStr">
        <is>
          <t>6. كلى</t>
        </is>
      </c>
      <c r="E10" s="65" t="inlineStr">
        <is>
          <t>6. كلى</t>
        </is>
      </c>
      <c r="F10" s="65" t="inlineStr">
        <is>
          <t>6. كلى</t>
        </is>
      </c>
    </row>
    <row r="11">
      <c r="A11" s="65" t="inlineStr">
        <is>
          <t>7. أمراض جلدية وتناسلية</t>
        </is>
      </c>
      <c r="B11" s="65" t="inlineStr">
        <is>
          <t>7. أورام كبار</t>
        </is>
      </c>
      <c r="C11" s="65" t="inlineStr">
        <is>
          <t>7. غدد صماء وسكري</t>
        </is>
      </c>
      <c r="D11" s="65" t="inlineStr">
        <is>
          <t>7. كلى أطفال</t>
        </is>
      </c>
      <c r="E11" s="65" t="inlineStr">
        <is>
          <t>7. كلى أطفال</t>
        </is>
      </c>
      <c r="F11" s="65" t="inlineStr">
        <is>
          <t>7. كلى أطفال</t>
        </is>
      </c>
    </row>
    <row r="12">
      <c r="A12" s="65" t="inlineStr">
        <is>
          <t>8. جراحة عامة</t>
        </is>
      </c>
      <c r="B12" s="65" t="inlineStr">
        <is>
          <t>8. أمراض الصدرية</t>
        </is>
      </c>
      <c r="C12" s="65" t="inlineStr">
        <is>
          <t>8. أمراض دم وأورام</t>
        </is>
      </c>
      <c r="D12" s="65" t="inlineStr">
        <is>
          <t>8. غدد صماء وسكري</t>
        </is>
      </c>
      <c r="E12" s="65" t="inlineStr">
        <is>
          <t>8. غدد صماء وسكري</t>
        </is>
      </c>
      <c r="F12" s="65" t="inlineStr">
        <is>
          <t>8. غدد صماء وسكري</t>
        </is>
      </c>
    </row>
    <row r="13">
      <c r="A13" s="65" t="inlineStr">
        <is>
          <t>9. مسالك بولية</t>
        </is>
      </c>
      <c r="B13" s="65" t="inlineStr">
        <is>
          <t>9. أمراض معدية</t>
        </is>
      </c>
      <c r="C13" s="65" t="inlineStr">
        <is>
          <t>9. أورام كبار</t>
        </is>
      </c>
      <c r="D13" s="65" t="inlineStr">
        <is>
          <t>9. أمراض دم وأورام</t>
        </is>
      </c>
      <c r="E13" s="65" t="inlineStr">
        <is>
          <t>9. أمراض دم وأورام</t>
        </is>
      </c>
      <c r="F13" s="65" t="inlineStr">
        <is>
          <t>9. أمراض دم وأورام</t>
        </is>
      </c>
    </row>
    <row r="14">
      <c r="A14" s="65" t="inlineStr">
        <is>
          <t>10. عظام</t>
        </is>
      </c>
      <c r="B14" s="65" t="inlineStr">
        <is>
          <t>10. طب نفسي</t>
        </is>
      </c>
      <c r="C14" s="65" t="inlineStr">
        <is>
          <t>10. علاج إشعاعي أورام</t>
        </is>
      </c>
      <c r="D14" s="65" t="inlineStr">
        <is>
          <t>10. أورام كبار</t>
        </is>
      </c>
      <c r="E14" s="65" t="inlineStr">
        <is>
          <t>10. أورام كبار</t>
        </is>
      </c>
      <c r="F14" s="65" t="inlineStr">
        <is>
          <t>10. أورام كبار</t>
        </is>
      </c>
    </row>
    <row r="15">
      <c r="A15" s="65" t="inlineStr">
        <is>
          <t>11. عيون</t>
        </is>
      </c>
      <c r="B15" s="65" t="inlineStr">
        <is>
          <t>11. طب نفسي أطفال ومراهقين</t>
        </is>
      </c>
      <c r="C15" s="65" t="inlineStr">
        <is>
          <t>11. علاج تلطيفي أورام</t>
        </is>
      </c>
      <c r="D15" s="65" t="inlineStr">
        <is>
          <t>11. علاج إشعاعي أورام</t>
        </is>
      </c>
      <c r="E15" s="65" t="inlineStr">
        <is>
          <t>11. علاج إشعاعي أورام</t>
        </is>
      </c>
      <c r="F15" s="65" t="inlineStr">
        <is>
          <t>11. علاج إشعاعي أورام</t>
        </is>
      </c>
    </row>
    <row r="16">
      <c r="A16" s="65" t="inlineStr">
        <is>
          <t>12. أنف وأذن وحنجرة</t>
        </is>
      </c>
      <c r="B16" s="65" t="inlineStr">
        <is>
          <t>12. أمراض جلدية وتناسلية</t>
        </is>
      </c>
      <c r="C16" s="65" t="inlineStr">
        <is>
          <t>12. أورام أطفال</t>
        </is>
      </c>
      <c r="D16" s="65" t="inlineStr">
        <is>
          <t>12. علاج تلطيفي أورام</t>
        </is>
      </c>
      <c r="E16" s="65" t="inlineStr">
        <is>
          <t>12. علاج تلطيفي أورام</t>
        </is>
      </c>
      <c r="F16" s="65" t="inlineStr">
        <is>
          <t>12. علاج تلطيفي أورام</t>
        </is>
      </c>
    </row>
    <row r="17">
      <c r="A17" s="65" t="inlineStr">
        <is>
          <t>13. أطفال</t>
        </is>
      </c>
      <c r="B17" s="65" t="inlineStr">
        <is>
          <t>13. جراحة عامة</t>
        </is>
      </c>
      <c r="C17" s="65" t="inlineStr">
        <is>
          <t>13. أمراض الصدرية</t>
        </is>
      </c>
      <c r="D17" s="65" t="inlineStr">
        <is>
          <t>13. أورام أطفال</t>
        </is>
      </c>
      <c r="E17" s="65" t="inlineStr">
        <is>
          <t>13. أورام أطفال</t>
        </is>
      </c>
      <c r="F17" s="65" t="inlineStr">
        <is>
          <t>13. أورام أطفال</t>
        </is>
      </c>
    </row>
    <row r="18">
      <c r="A18" s="65" t="inlineStr">
        <is>
          <t>14. نساء وولادة</t>
        </is>
      </c>
      <c r="B18" s="65" t="inlineStr">
        <is>
          <t>14. مسالك بولية</t>
        </is>
      </c>
      <c r="C18" s="65" t="inlineStr">
        <is>
          <t>14. أمراض معدية</t>
        </is>
      </c>
      <c r="D18" s="65" t="inlineStr">
        <is>
          <t>14. أمراض وراثية واستقلابية</t>
        </is>
      </c>
      <c r="E18" s="65" t="inlineStr">
        <is>
          <t>14. أمراض وراثية واستقلابية</t>
        </is>
      </c>
      <c r="F18" s="65" t="inlineStr">
        <is>
          <t>14. أمراض وراثية واستقلابية</t>
        </is>
      </c>
    </row>
    <row r="19">
      <c r="A19" s="65" t="inlineStr">
        <is>
          <t>15. تخدير</t>
        </is>
      </c>
      <c r="B19" s="65" t="inlineStr">
        <is>
          <t>15. عظام</t>
        </is>
      </c>
      <c r="C19" s="65" t="inlineStr">
        <is>
          <t>15. طب نفسي</t>
        </is>
      </c>
      <c r="D19" s="65" t="inlineStr">
        <is>
          <t>15. أمراض الصدرية</t>
        </is>
      </c>
      <c r="E19" s="65" t="inlineStr">
        <is>
          <t>15. أمراض الصدرية</t>
        </is>
      </c>
      <c r="F19" s="65" t="inlineStr">
        <is>
          <t>15. أمراض الصدرية</t>
        </is>
      </c>
    </row>
    <row r="20">
      <c r="A20" s="65" t="inlineStr">
        <is>
          <t>16. عناية مركزة كبار</t>
        </is>
      </c>
      <c r="B20" s="65" t="inlineStr">
        <is>
          <t>16. عيون</t>
        </is>
      </c>
      <c r="C20" s="65" t="inlineStr">
        <is>
          <t>16. طب نفسي أطفال ومراهقين</t>
        </is>
      </c>
      <c r="D20" s="65" t="inlineStr">
        <is>
          <t>16. أمراض معدية</t>
        </is>
      </c>
      <c r="E20" s="65" t="inlineStr">
        <is>
          <t>16. أمراض معدية</t>
        </is>
      </c>
      <c r="F20" s="65" t="inlineStr">
        <is>
          <t>16. أمراض معدية</t>
        </is>
      </c>
    </row>
    <row r="21">
      <c r="A21" s="65" t="inlineStr">
        <is>
          <t>17. عناية مركزة حديثي ولادة</t>
        </is>
      </c>
      <c r="B21" s="65" t="inlineStr">
        <is>
          <t>17. أنف وأذن وحنجرة</t>
        </is>
      </c>
      <c r="C21" s="65" t="inlineStr">
        <is>
          <t>17. أمراض جلدية وتناسلية</t>
        </is>
      </c>
      <c r="D21" s="65" t="inlineStr">
        <is>
          <t>17. روماتيزم</t>
        </is>
      </c>
      <c r="E21" s="65" t="inlineStr">
        <is>
          <t>17. روماتيزم</t>
        </is>
      </c>
      <c r="F21" s="65" t="inlineStr">
        <is>
          <t>17. روماتيزم</t>
        </is>
      </c>
    </row>
    <row r="22">
      <c r="A22" s="65" t="inlineStr">
        <is>
          <t>18. طوارئ</t>
        </is>
      </c>
      <c r="B22" s="65" t="inlineStr">
        <is>
          <t>18. سمعيات</t>
        </is>
      </c>
      <c r="C22" s="65" t="inlineStr">
        <is>
          <t>18. جراحة عامة</t>
        </is>
      </c>
      <c r="D22" s="65" t="inlineStr">
        <is>
          <t>18. طب نفسي</t>
        </is>
      </c>
      <c r="E22" s="65" t="inlineStr">
        <is>
          <t>18. طب نفسي</t>
        </is>
      </c>
      <c r="F22" s="65" t="inlineStr">
        <is>
          <t>18. طب نفسي</t>
        </is>
      </c>
    </row>
    <row r="23">
      <c r="A23" s="65" t="inlineStr">
        <is>
          <t>19. أشعة</t>
        </is>
      </c>
      <c r="B23" s="65" t="inlineStr">
        <is>
          <t>19. جراحة مخ وأعصاب</t>
        </is>
      </c>
      <c r="C23" s="65" t="inlineStr">
        <is>
          <t>19. مسالك بولية</t>
        </is>
      </c>
      <c r="D23" s="65" t="inlineStr">
        <is>
          <t>19. طب نفسي أطفال ومراهقين</t>
        </is>
      </c>
      <c r="E23" s="65" t="inlineStr">
        <is>
          <t>19. طب نفسي أطفال ومراهقين</t>
        </is>
      </c>
      <c r="F23" s="65" t="inlineStr">
        <is>
          <t>19. طب نفسي أطفال ومراهقين</t>
        </is>
      </c>
    </row>
    <row r="24">
      <c r="A24" s="65" t="inlineStr">
        <is>
          <t>20. أسنان</t>
        </is>
      </c>
      <c r="B24" s="65" t="inlineStr">
        <is>
          <t>20. أطفال</t>
        </is>
      </c>
      <c r="C24" s="65" t="inlineStr">
        <is>
          <t>20. عظام</t>
        </is>
      </c>
      <c r="D24" s="65" t="inlineStr">
        <is>
          <t>20. علم المناعة والحساسية</t>
        </is>
      </c>
      <c r="E24" s="65" t="inlineStr">
        <is>
          <t>20. علم المناعة والحساسية</t>
        </is>
      </c>
      <c r="F24" s="65" t="inlineStr">
        <is>
          <t>20. علم المناعة والحساسية</t>
        </is>
      </c>
    </row>
    <row r="25">
      <c r="A25" s="65" t="inlineStr">
        <is>
          <t>21. مكافحة عدوى</t>
        </is>
      </c>
      <c r="B25" s="65" t="inlineStr">
        <is>
          <t>21. نساء وولادة</t>
        </is>
      </c>
      <c r="C25" s="65" t="inlineStr">
        <is>
          <t>21. عيون</t>
        </is>
      </c>
      <c r="D25" s="65" t="inlineStr">
        <is>
          <t>21. أمراض جلدية وتناسلية</t>
        </is>
      </c>
      <c r="E25" s="65" t="inlineStr">
        <is>
          <t>21. أمراض جلدية وتناسلية</t>
        </is>
      </c>
      <c r="F25" s="65" t="inlineStr">
        <is>
          <t>21. أمراض جلدية وتناسلية</t>
        </is>
      </c>
    </row>
    <row r="26">
      <c r="A26" s="65" t="inlineStr">
        <is>
          <t>22. جودة</t>
        </is>
      </c>
      <c r="B26" s="65" t="inlineStr">
        <is>
          <t>22. تخدير</t>
        </is>
      </c>
      <c r="C26" s="65" t="inlineStr">
        <is>
          <t>22. أنف وأذن وحنجرة</t>
        </is>
      </c>
      <c r="D26" s="65" t="inlineStr">
        <is>
          <t>22. طب طبيعي وتأهيل</t>
        </is>
      </c>
      <c r="E26" s="65" t="inlineStr">
        <is>
          <t>22. طب طبيعي وتأهيل</t>
        </is>
      </c>
      <c r="F26" s="65" t="inlineStr">
        <is>
          <t>22. طب طبيعي وتأهيل</t>
        </is>
      </c>
    </row>
    <row r="27">
      <c r="A27" s="65" t="inlineStr">
        <is>
          <t>23. باثولوجيا إكلينيكية</t>
        </is>
      </c>
      <c r="B27" s="65" t="inlineStr">
        <is>
          <t>23. عناية مركزة كبار</t>
        </is>
      </c>
      <c r="C27" s="65" t="inlineStr">
        <is>
          <t>23. سمعيات</t>
        </is>
      </c>
      <c r="D27" s="65" t="inlineStr">
        <is>
          <t>23. جراحة عامة</t>
        </is>
      </c>
      <c r="E27" s="65" t="inlineStr">
        <is>
          <t>23. جراحة عامة</t>
        </is>
      </c>
      <c r="F27" s="65" t="inlineStr">
        <is>
          <t>23. جراحة عامة</t>
        </is>
      </c>
    </row>
    <row r="28">
      <c r="B28" s="65" t="inlineStr">
        <is>
          <t>24. عناية مركزة حديثي ولادة</t>
        </is>
      </c>
      <c r="C28" s="65" t="inlineStr">
        <is>
          <t>24. أمراض تخاطب</t>
        </is>
      </c>
      <c r="D28" s="65" t="inlineStr">
        <is>
          <t>24. جراحة سمنة</t>
        </is>
      </c>
      <c r="E28" s="65" t="inlineStr">
        <is>
          <t>24. جراحة غدد صماء وثدي</t>
        </is>
      </c>
      <c r="F28" s="65" t="inlineStr">
        <is>
          <t>24. جراحة غدد صماء وثدي</t>
        </is>
      </c>
    </row>
    <row r="29">
      <c r="B29" s="65" t="inlineStr">
        <is>
          <t>25. طوارئ</t>
        </is>
      </c>
      <c r="C29" s="65" t="inlineStr">
        <is>
          <t>25. جراحة مخ وأعصاب</t>
        </is>
      </c>
      <c r="D29" s="65" t="inlineStr">
        <is>
          <t>25. مسالك بولية</t>
        </is>
      </c>
      <c r="E29" s="65" t="inlineStr">
        <is>
          <t>25. جراحة كبد وقنوات مرارية</t>
        </is>
      </c>
      <c r="F29" s="65" t="inlineStr">
        <is>
          <t>25. جراحة كبد وقنوات مرارية</t>
        </is>
      </c>
    </row>
    <row r="30">
      <c r="B30" s="65" t="inlineStr">
        <is>
          <t>26. أشعة</t>
        </is>
      </c>
      <c r="C30" s="65" t="inlineStr">
        <is>
          <t>26. جراحة أوعية دموية</t>
        </is>
      </c>
      <c r="D30" s="65" t="inlineStr">
        <is>
          <t>26. عظام</t>
        </is>
      </c>
      <c r="E30" s="65" t="inlineStr">
        <is>
          <t>26. جراحة قولون ومستقيم</t>
        </is>
      </c>
      <c r="F30" s="65" t="inlineStr">
        <is>
          <t>26. جراحة قولون ومستقيم</t>
        </is>
      </c>
    </row>
    <row r="31">
      <c r="B31" s="65" t="inlineStr">
        <is>
          <t>27. جراحة وجه وفكين</t>
        </is>
      </c>
      <c r="C31" s="65" t="inlineStr">
        <is>
          <t>27. جراحة تجميل وحروق</t>
        </is>
      </c>
      <c r="D31" s="65" t="inlineStr">
        <is>
          <t>27. عيون</t>
        </is>
      </c>
      <c r="E31" s="65" t="inlineStr">
        <is>
          <t>27. جراحة سمنة</t>
        </is>
      </c>
      <c r="F31" s="65" t="inlineStr">
        <is>
          <t>27. جراحة سمنة</t>
        </is>
      </c>
    </row>
    <row r="32">
      <c r="B32" s="65" t="inlineStr">
        <is>
          <t>28. أسنان</t>
        </is>
      </c>
      <c r="C32" s="65" t="inlineStr">
        <is>
          <t>28. أمراض السمنة</t>
        </is>
      </c>
      <c r="D32" s="65" t="inlineStr">
        <is>
          <t>28. أنف وأذن وحنجرة</t>
        </is>
      </c>
      <c r="E32" s="65" t="inlineStr">
        <is>
          <t>28. جراحة جهاز هضمي</t>
        </is>
      </c>
      <c r="F32" s="65" t="inlineStr">
        <is>
          <t>28. جراحة جهاز هضمي</t>
        </is>
      </c>
    </row>
    <row r="33">
      <c r="B33" s="65" t="inlineStr">
        <is>
          <t>29. مكافحة عدوى</t>
        </is>
      </c>
      <c r="C33" s="65" t="inlineStr">
        <is>
          <t>29. جراحة أطفال</t>
        </is>
      </c>
      <c r="D33" s="65" t="inlineStr">
        <is>
          <t>29. سمعيات</t>
        </is>
      </c>
      <c r="E33" s="65" t="inlineStr">
        <is>
          <t>29. مسالك بولية</t>
        </is>
      </c>
      <c r="F33" s="65" t="inlineStr">
        <is>
          <t>29. مسالك بولية</t>
        </is>
      </c>
    </row>
    <row r="34">
      <c r="B34" s="65" t="inlineStr">
        <is>
          <t>30. جودة</t>
        </is>
      </c>
      <c r="C34" s="65" t="inlineStr">
        <is>
          <t>30. أطفال</t>
        </is>
      </c>
      <c r="D34" s="65" t="inlineStr">
        <is>
          <t>30. أمراض تخاطب</t>
        </is>
      </c>
      <c r="E34" s="65" t="inlineStr">
        <is>
          <t>30. عظام</t>
        </is>
      </c>
      <c r="F34" s="65" t="inlineStr">
        <is>
          <t>30. عظام</t>
        </is>
      </c>
    </row>
    <row r="35">
      <c r="B35" s="65" t="inlineStr">
        <is>
          <t>31. باثولوجيا إكلينيكية</t>
        </is>
      </c>
      <c r="C35" s="65" t="inlineStr">
        <is>
          <t>31. قلب أطفال</t>
        </is>
      </c>
      <c r="D35" s="65" t="inlineStr">
        <is>
          <t>31. جراحة مخ وأعصاب</t>
        </is>
      </c>
      <c r="E35" s="65" t="inlineStr">
        <is>
          <t>31. عيون</t>
        </is>
      </c>
      <c r="F35" s="65" t="inlineStr">
        <is>
          <t>31. عيون</t>
        </is>
      </c>
    </row>
    <row r="36">
      <c r="B36" s="65" t="inlineStr">
        <is>
          <t>32. هيماتولوجي</t>
        </is>
      </c>
      <c r="C36" s="65" t="inlineStr">
        <is>
          <t>32. نساء وولادة</t>
        </is>
      </c>
      <c r="D36" s="65" t="inlineStr">
        <is>
          <t>32. جراحة صدر</t>
        </is>
      </c>
      <c r="E36" s="65" t="inlineStr">
        <is>
          <t>32. أنف وأذن وحنجرة</t>
        </is>
      </c>
      <c r="F36" s="65" t="inlineStr">
        <is>
          <t>32. أنف وأذن وحنجرة</t>
        </is>
      </c>
    </row>
    <row r="37">
      <c r="B37" s="65" t="inlineStr">
        <is>
          <t>33. كيمياء حيوية</t>
        </is>
      </c>
      <c r="C37" s="65" t="inlineStr">
        <is>
          <t>33. تخدير</t>
        </is>
      </c>
      <c r="D37" s="65" t="inlineStr">
        <is>
          <t>33. جراحة أوعية دموية</t>
        </is>
      </c>
      <c r="E37" s="65" t="inlineStr">
        <is>
          <t>33. سمعيات</t>
        </is>
      </c>
      <c r="F37" s="65" t="inlineStr">
        <is>
          <t>33. سمعيات</t>
        </is>
      </c>
    </row>
    <row r="38">
      <c r="B38" s="65" t="inlineStr">
        <is>
          <t>34. بنك دم</t>
        </is>
      </c>
      <c r="C38" s="65" t="inlineStr">
        <is>
          <t>34. عناية مركزة كبار</t>
        </is>
      </c>
      <c r="D38" s="65" t="inlineStr">
        <is>
          <t>34. جراحة تجميل وحروق</t>
        </is>
      </c>
      <c r="E38" s="65" t="inlineStr">
        <is>
          <t>34. زراعة القوقعة</t>
        </is>
      </c>
      <c r="F38" s="65" t="inlineStr">
        <is>
          <t>34. زراعة القوقعة</t>
        </is>
      </c>
    </row>
    <row r="39">
      <c r="B39" s="65" t="inlineStr">
        <is>
          <t>35. جراثيم</t>
        </is>
      </c>
      <c r="C39" s="65" t="inlineStr">
        <is>
          <t>35. عناية مركزة أطفال</t>
        </is>
      </c>
      <c r="D39" s="65" t="inlineStr">
        <is>
          <t>35. أمراض السمنة</t>
        </is>
      </c>
      <c r="E39" s="65" t="inlineStr">
        <is>
          <t>35. أمراض تخاطب</t>
        </is>
      </c>
      <c r="F39" s="65" t="inlineStr">
        <is>
          <t>35. أمراض تخاطب</t>
        </is>
      </c>
    </row>
    <row r="40">
      <c r="C40" s="65" t="inlineStr">
        <is>
          <t>36. عناية مركزة حديثي ولادة</t>
        </is>
      </c>
      <c r="D40" s="65" t="inlineStr">
        <is>
          <t>36. جراحة أطفال</t>
        </is>
      </c>
      <c r="E40" s="65" t="inlineStr">
        <is>
          <t>36. جراحة مخ وأعصاب</t>
        </is>
      </c>
      <c r="F40" s="65" t="inlineStr">
        <is>
          <t>36. جراحة مخ وأعصاب</t>
        </is>
      </c>
    </row>
    <row r="41">
      <c r="C41" s="65" t="inlineStr">
        <is>
          <t>37. طوارئ</t>
        </is>
      </c>
      <c r="D41" s="65" t="inlineStr">
        <is>
          <t>37. أطفال</t>
        </is>
      </c>
      <c r="E41" s="65" t="inlineStr">
        <is>
          <t>37. جراحة عمود فقري</t>
        </is>
      </c>
      <c r="F41" s="65" t="inlineStr">
        <is>
          <t>37. جراحة عمود فقري</t>
        </is>
      </c>
    </row>
    <row r="42">
      <c r="C42" s="65" t="inlineStr">
        <is>
          <t>38. أشعة</t>
        </is>
      </c>
      <c r="D42" s="65" t="inlineStr">
        <is>
          <t>38. قلب أطفال</t>
        </is>
      </c>
      <c r="E42" s="65" t="inlineStr">
        <is>
          <t>38. جراحة صدر</t>
        </is>
      </c>
      <c r="F42" s="65" t="inlineStr">
        <is>
          <t>38. جراحة صدر</t>
        </is>
      </c>
    </row>
    <row r="43">
      <c r="C43" s="65" t="inlineStr">
        <is>
          <t>39. جراحة وجه وفكين</t>
        </is>
      </c>
      <c r="D43" s="65" t="inlineStr">
        <is>
          <t>39. نمو وسلوك أطفال</t>
        </is>
      </c>
      <c r="E43" s="65" t="inlineStr">
        <is>
          <t>39. جراحة أوعية دموية</t>
        </is>
      </c>
      <c r="F43" s="65" t="inlineStr">
        <is>
          <t>39. جراحة أوعية دموية</t>
        </is>
      </c>
    </row>
    <row r="44">
      <c r="C44" s="65" t="inlineStr">
        <is>
          <t>40. أسنان</t>
        </is>
      </c>
      <c r="D44" s="65" t="inlineStr">
        <is>
          <t>40. نساء وولادة</t>
        </is>
      </c>
      <c r="E44" s="65" t="inlineStr">
        <is>
          <t>40. جراحة تجميل وحروق</t>
        </is>
      </c>
      <c r="F44" s="65" t="inlineStr">
        <is>
          <t>40. جراحة تجميل وحروق</t>
        </is>
      </c>
    </row>
    <row r="45">
      <c r="C45" s="65" t="inlineStr">
        <is>
          <t>41. مكافحة عدوى</t>
        </is>
      </c>
      <c r="D45" s="65" t="inlineStr">
        <is>
          <t>41. عقم وأطفال أنابيب</t>
        </is>
      </c>
      <c r="E45" s="65" t="inlineStr">
        <is>
          <t>41. أمراض السمنة</t>
        </is>
      </c>
      <c r="F45" s="65" t="inlineStr">
        <is>
          <t>41. أمراض السمنة</t>
        </is>
      </c>
    </row>
    <row r="46">
      <c r="C46" s="65" t="inlineStr">
        <is>
          <t>42. جودة</t>
        </is>
      </c>
      <c r="D46" s="65" t="inlineStr">
        <is>
          <t>42. تخدير</t>
        </is>
      </c>
      <c r="E46" s="65" t="inlineStr">
        <is>
          <t>42. جراحة أطفال</t>
        </is>
      </c>
      <c r="F46" s="65" t="inlineStr">
        <is>
          <t>42. جراحة أطفال</t>
        </is>
      </c>
    </row>
    <row r="47">
      <c r="C47" s="65" t="inlineStr">
        <is>
          <t>43. باثولوجيا إكلينيكية</t>
        </is>
      </c>
      <c r="D47" s="65" t="inlineStr">
        <is>
          <t>43. عناية مركزة كبار</t>
        </is>
      </c>
      <c r="E47" s="65" t="inlineStr">
        <is>
          <t>43. أطفال</t>
        </is>
      </c>
      <c r="F47" s="65" t="inlineStr">
        <is>
          <t>43. أطفال</t>
        </is>
      </c>
    </row>
    <row r="48">
      <c r="C48" s="65" t="inlineStr">
        <is>
          <t>44. هيماتولوجي</t>
        </is>
      </c>
      <c r="D48" s="65" t="inlineStr">
        <is>
          <t>44. عناية مركزة أطفال</t>
        </is>
      </c>
      <c r="E48" s="65" t="inlineStr">
        <is>
          <t>44. قلب أطفال</t>
        </is>
      </c>
      <c r="F48" s="65" t="inlineStr">
        <is>
          <t>44. قلب أطفال</t>
        </is>
      </c>
    </row>
    <row r="49">
      <c r="C49" s="65" t="inlineStr">
        <is>
          <t>45. كيمياء حيوية</t>
        </is>
      </c>
      <c r="D49" s="65" t="inlineStr">
        <is>
          <t>45. عناية مركزة حديثي ولادة</t>
        </is>
      </c>
      <c r="E49" s="65" t="inlineStr">
        <is>
          <t>45. أعصاب أطفال</t>
        </is>
      </c>
      <c r="F49" s="65" t="inlineStr">
        <is>
          <t>45. أعصاب أطفال</t>
        </is>
      </c>
    </row>
    <row r="50">
      <c r="C50" s="65" t="inlineStr">
        <is>
          <t>46. بنك دم</t>
        </is>
      </c>
      <c r="D50" s="65" t="inlineStr">
        <is>
          <t>46. طوارئ</t>
        </is>
      </c>
      <c r="E50" s="65" t="inlineStr">
        <is>
          <t>46. نمو وسلوك أطفال</t>
        </is>
      </c>
      <c r="F50" s="65" t="inlineStr">
        <is>
          <t>46. نمو وسلوك أطفال</t>
        </is>
      </c>
    </row>
    <row r="51">
      <c r="C51" s="65" t="inlineStr">
        <is>
          <t>47. جراثيم</t>
        </is>
      </c>
      <c r="D51" s="65" t="inlineStr">
        <is>
          <t>47. أشعة</t>
        </is>
      </c>
      <c r="E51" s="65" t="inlineStr">
        <is>
          <t>47. نساء وولادة</t>
        </is>
      </c>
      <c r="F51" s="65" t="inlineStr">
        <is>
          <t>47. نساء وولادة</t>
        </is>
      </c>
    </row>
    <row r="52">
      <c r="D52" s="65" t="inlineStr">
        <is>
          <t>48. جراحة وجه وفكين</t>
        </is>
      </c>
      <c r="E52" s="65" t="inlineStr">
        <is>
          <t>48. عقم وأطفال أنابيب</t>
        </is>
      </c>
      <c r="F52" s="65" t="inlineStr">
        <is>
          <t>48. عقم وأطفال أنابيب</t>
        </is>
      </c>
    </row>
    <row r="53">
      <c r="D53" s="65" t="inlineStr">
        <is>
          <t>49. أسنان</t>
        </is>
      </c>
      <c r="E53" s="65" t="inlineStr">
        <is>
          <t>49. تخدير</t>
        </is>
      </c>
      <c r="F53" s="65" t="inlineStr">
        <is>
          <t>49. تخدير</t>
        </is>
      </c>
    </row>
    <row r="54">
      <c r="D54" s="65" t="inlineStr">
        <is>
          <t>50. مكافحة عدوى</t>
        </is>
      </c>
      <c r="E54" s="65" t="inlineStr">
        <is>
          <t>50. عناية مركزة كبار</t>
        </is>
      </c>
      <c r="F54" s="65" t="inlineStr">
        <is>
          <t>50. عناية مركزة كبار</t>
        </is>
      </c>
    </row>
    <row r="55">
      <c r="D55" s="65" t="inlineStr">
        <is>
          <t>51. جودة</t>
        </is>
      </c>
      <c r="E55" s="65" t="inlineStr">
        <is>
          <t>51. عناية مركزة أطفال</t>
        </is>
      </c>
      <c r="F55" s="65" t="inlineStr">
        <is>
          <t>51. عناية مركزة أطفال</t>
        </is>
      </c>
    </row>
    <row r="56">
      <c r="D56" s="65" t="inlineStr">
        <is>
          <t>52. باثولوجيا إكلينيكية</t>
        </is>
      </c>
      <c r="E56" s="65" t="inlineStr">
        <is>
          <t>52. عناية مركزة حديثي ولادة</t>
        </is>
      </c>
      <c r="F56" s="65" t="inlineStr">
        <is>
          <t>52. عناية مركزة حديثي ولادة</t>
        </is>
      </c>
    </row>
    <row r="57">
      <c r="D57" s="65" t="inlineStr">
        <is>
          <t>53. هيماتولوجي</t>
        </is>
      </c>
      <c r="E57" s="65" t="inlineStr">
        <is>
          <t>53. طوارئ</t>
        </is>
      </c>
      <c r="F57" s="65" t="inlineStr">
        <is>
          <t>53. طوارئ</t>
        </is>
      </c>
    </row>
    <row r="58">
      <c r="D58" s="65" t="inlineStr">
        <is>
          <t>54. كيمياء حيوية</t>
        </is>
      </c>
      <c r="E58" s="65" t="inlineStr">
        <is>
          <t>54. أشعة</t>
        </is>
      </c>
      <c r="F58" s="65" t="inlineStr">
        <is>
          <t>54. أشعة</t>
        </is>
      </c>
    </row>
    <row r="59">
      <c r="D59" s="65" t="inlineStr">
        <is>
          <t>55. بنك دم</t>
        </is>
      </c>
      <c r="E59" s="65" t="inlineStr">
        <is>
          <t>55. طب نووي</t>
        </is>
      </c>
      <c r="F59" s="65" t="inlineStr">
        <is>
          <t>55. طب نووي</t>
        </is>
      </c>
    </row>
    <row r="60">
      <c r="D60" s="65" t="inlineStr">
        <is>
          <t>56. جراثيم</t>
        </is>
      </c>
      <c r="E60" s="65" t="inlineStr">
        <is>
          <t>56. طب كبار السن (شيخوخة)</t>
        </is>
      </c>
      <c r="F60" s="65" t="inlineStr">
        <is>
          <t>56. طب كبار السن (شيخوخة)</t>
        </is>
      </c>
    </row>
    <row r="61">
      <c r="D61" s="65" t="inlineStr">
        <is>
          <t>57. تشريح نسيجي</t>
        </is>
      </c>
      <c r="E61" s="65" t="inlineStr">
        <is>
          <t>57. جراحة وجه وفكين</t>
        </is>
      </c>
      <c r="F61" s="65" t="inlineStr">
        <is>
          <t>57. جراحة وجه وفكين</t>
        </is>
      </c>
    </row>
    <row r="62">
      <c r="E62" s="65" t="inlineStr">
        <is>
          <t>58. أسنان</t>
        </is>
      </c>
      <c r="F62" s="65" t="inlineStr">
        <is>
          <t>58. أسنان</t>
        </is>
      </c>
    </row>
    <row r="63">
      <c r="E63" s="65" t="inlineStr">
        <is>
          <t>59. مكافحة عدوى</t>
        </is>
      </c>
      <c r="F63" s="65" t="inlineStr">
        <is>
          <t>59. مكافحة عدوى</t>
        </is>
      </c>
    </row>
    <row r="64">
      <c r="E64" s="65" t="inlineStr">
        <is>
          <t>60. جودة</t>
        </is>
      </c>
      <c r="F64" s="65" t="inlineStr">
        <is>
          <t>60. جودة</t>
        </is>
      </c>
    </row>
    <row r="65">
      <c r="E65" s="65" t="inlineStr">
        <is>
          <t>61. باثولوجيا إكلينيكية</t>
        </is>
      </c>
      <c r="F65" s="65" t="inlineStr">
        <is>
          <t>61. باثولوجيا إكلينيكية</t>
        </is>
      </c>
    </row>
    <row r="66">
      <c r="E66" s="65" t="inlineStr">
        <is>
          <t>62. هيماتولوجي</t>
        </is>
      </c>
      <c r="F66" s="65" t="inlineStr">
        <is>
          <t>62. هيماتولوجي</t>
        </is>
      </c>
    </row>
    <row r="67">
      <c r="E67" s="65" t="inlineStr">
        <is>
          <t>63. كيمياء حيوية</t>
        </is>
      </c>
      <c r="F67" s="65" t="inlineStr">
        <is>
          <t>63. كيمياء حيوية</t>
        </is>
      </c>
    </row>
    <row r="68">
      <c r="E68" s="65" t="inlineStr">
        <is>
          <t>64. بنك دم</t>
        </is>
      </c>
      <c r="F68" s="65" t="inlineStr">
        <is>
          <t>64. بنك دم</t>
        </is>
      </c>
    </row>
    <row r="69">
      <c r="E69" s="65" t="inlineStr">
        <is>
          <t>65. جراثيم</t>
        </is>
      </c>
      <c r="F69" s="65" t="inlineStr">
        <is>
          <t>65. جراثيم</t>
        </is>
      </c>
    </row>
    <row r="70">
      <c r="E70" s="65" t="inlineStr">
        <is>
          <t>66. فيروسات</t>
        </is>
      </c>
      <c r="F70" s="65" t="inlineStr">
        <is>
          <t>66. فيروسات</t>
        </is>
      </c>
    </row>
    <row r="71">
      <c r="E71" s="65" t="inlineStr">
        <is>
          <t>67. طفيليات</t>
        </is>
      </c>
      <c r="F71" s="65" t="inlineStr">
        <is>
          <t>67. طفيليات</t>
        </is>
      </c>
    </row>
    <row r="72">
      <c r="E72" s="65" t="inlineStr">
        <is>
          <t>68. تشريح نسيجي</t>
        </is>
      </c>
      <c r="F72" s="65" t="inlineStr">
        <is>
          <t>68. تشريح نسيجي</t>
        </is>
      </c>
    </row>
    <row r="73">
      <c r="F73" s="65" t="inlineStr">
        <is>
          <t>69. مختبر مناعة</t>
        </is>
      </c>
    </row>
    <row r="75">
      <c r="A75" s="66" t="n">
        <v>23</v>
      </c>
      <c r="B75" s="66" t="n">
        <v>35</v>
      </c>
      <c r="C75" s="66" t="n">
        <v>47</v>
      </c>
      <c r="D75" s="66" t="n">
        <v>57</v>
      </c>
      <c r="E75" s="66" t="n">
        <v>68</v>
      </c>
      <c r="F75" s="66" t="n">
        <v>69</v>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tabColor rgb="00BF8F00"/>
    <outlinePr summaryBelow="1" summaryRight="1"/>
    <pageSetUpPr/>
  </sheetPr>
  <dimension ref="A1:C46"/>
  <sheetViews>
    <sheetView rightToLeft="1" workbookViewId="0">
      <selection activeCell="A1" sqref="A1"/>
    </sheetView>
  </sheetViews>
  <sheetFormatPr baseColWidth="8" defaultRowHeight="15"/>
  <cols>
    <col width="6" customWidth="1" min="1" max="1"/>
    <col width="90" customWidth="1" min="2" max="2"/>
    <col width="30" customWidth="1" min="3" max="3"/>
  </cols>
  <sheetData>
    <row r="1" ht="30" customHeight="1">
      <c r="A1" s="1" t="inlineStr">
        <is>
          <t>الإيضاحات الواردة في الدليل (42 إيضاحاً)</t>
        </is>
      </c>
    </row>
    <row r="2" ht="20" customHeight="1">
      <c r="A2" s="2" t="inlineStr">
        <is>
          <t>الملحق (1) — صفحتا 32 و 33. هذه الإيضاحات ملزمة عند تطبيق أي رقم في هذا النموذج.</t>
        </is>
      </c>
    </row>
    <row r="4">
      <c r="A4" s="67" t="inlineStr">
        <is>
          <t>م</t>
        </is>
      </c>
      <c r="B4" s="67" t="inlineStr">
        <is>
          <t>الإيضاح</t>
        </is>
      </c>
    </row>
    <row r="5" ht="28" customHeight="1">
      <c r="A5" s="68" t="n">
        <v>1</v>
      </c>
      <c r="B5" s="60" t="inlineStr">
        <is>
          <t>هذا المعيار هو الحد الأدنى للقوى العاملة.</t>
        </is>
      </c>
    </row>
    <row r="6" ht="30" customHeight="1">
      <c r="A6" s="68" t="n">
        <v>2</v>
      </c>
      <c r="B6" s="60" t="inlineStr">
        <is>
          <t>في المستشفيات التي لا يوجد بها استشاريون أو أخصائيون في التخصصات الدقيقة يمكن الاستفادة من المستشفى الافتراضي، والاستشارات الافتراضية، والاستشارات على 937.</t>
        </is>
      </c>
    </row>
    <row r="7" ht="45" customHeight="1">
      <c r="A7" s="68" t="n">
        <v>3</v>
      </c>
      <c r="B7" s="60" t="inlineStr">
        <is>
          <t>يفضل العمل في الأقسام بطريقة (General Medical Team – GMT) وهو فريق استشاريين للباطنة يعمل في وحدة الباطنة ويتكون الفريق من 2 استشاري و2 أخصائي و4 مقيم، مع التنويه بأن عدد العيادات لكل استشاري لا تقل عن 4 عيادات أسبوعياً بالإضافة للعيادة الافتراضية.</t>
        </is>
      </c>
    </row>
    <row r="8" ht="28" customHeight="1">
      <c r="A8" s="68" t="n">
        <v>4</v>
      </c>
      <c r="B8" s="60" t="inlineStr">
        <is>
          <t>في حال وجود طبيب لتخصص دقيق غير مذكور يتم توظيفهم على التخصص العام.</t>
        </is>
      </c>
    </row>
    <row r="9" ht="30" customHeight="1">
      <c r="A9" s="68" t="n">
        <v>5</v>
      </c>
      <c r="B9" s="60" t="inlineStr">
        <is>
          <t>يتوجب وجود فريقين على الأقل بالمستشفيات التي أقل من أو يساوي 200 سرير، وأربع فرق في أكثر من 200 سرير.</t>
        </is>
      </c>
    </row>
    <row r="10" ht="30" customHeight="1">
      <c r="A10" s="68" t="n">
        <v>6</v>
      </c>
      <c r="B10" s="60" t="inlineStr">
        <is>
          <t>في حال النقص يتم الرفع بطلب السعة السريرية أو طلب توظيف أو استخدام المستشفى الافتراضي أو التعاقد الجزئي.</t>
        </is>
      </c>
    </row>
    <row r="11" ht="30" customHeight="1">
      <c r="A11" s="68" t="n">
        <v>7</v>
      </c>
      <c r="B11" s="60" t="inlineStr">
        <is>
          <t>وظائف الاستشاريين والأخصائيين والمقيمين لجميع التخصصات يتم تحديدها فقط للقسم المخصص لها. وظائف الجودة ومكافحة العدوى والأقسام الأخرى يتم احتساب قوى عاملة خاصة لها.</t>
        </is>
      </c>
    </row>
    <row r="12" ht="28" customHeight="1">
      <c r="A12" s="68" t="n">
        <v>8</v>
      </c>
      <c r="B12" s="60" t="inlineStr">
        <is>
          <t>يطبق معيار العنايات المركزة إذا كانت المستشفى تقدم الخدمة ومعتمدة.</t>
        </is>
      </c>
    </row>
    <row r="13" ht="28" customHeight="1">
      <c r="A13" s="68" t="n">
        <v>9</v>
      </c>
      <c r="B13" s="60" t="inlineStr">
        <is>
          <t>الطبيب المقيم فئة عامة دون تخصص وتم تخصيصه بمسمى معين لإلزامه بعمل معين.</t>
        </is>
      </c>
    </row>
    <row r="14" ht="45" customHeight="1">
      <c r="A14" s="68" t="n">
        <v>10</v>
      </c>
      <c r="B14" s="60" t="inlineStr">
        <is>
          <t>معيار القابلات خاص بالمستشفيات العامة التي تقدم خدمات النساء والولادة ومستشفيات النساء والولادة التخصصية، ويتم توزيع القابلات على أقسام (ما قبل الولادة – ما بعد الولادة – الطوارئ – غرف الولادة).</t>
        </is>
      </c>
    </row>
    <row r="15" ht="30" customHeight="1">
      <c r="A15" s="68" t="n">
        <v>11</v>
      </c>
      <c r="B15" s="60" t="inlineStr">
        <is>
          <t>يتم شغل وظائف فني بنسبة 30% إلى حين تقاعد الكادر الحالي أو تحسين وضع الموظفات، ثم يتم تحديث النسبة تدريجياً وإضافتها إلى أخصائي.</t>
        </is>
      </c>
    </row>
    <row r="16" ht="30" customHeight="1">
      <c r="A16" s="68" t="n">
        <v>12</v>
      </c>
      <c r="B16" s="60" t="inlineStr">
        <is>
          <t>تقتصر خدمات طب الأسنان في المستشفيات العامة على وحدة جراحة الفم والوجه والفكين لخدمة المرضى المنومين في المستشفى.</t>
        </is>
      </c>
    </row>
    <row r="17" ht="60" customHeight="1">
      <c r="A17" s="68" t="n">
        <v>13</v>
      </c>
      <c r="B17" s="60" t="inlineStr">
        <is>
          <t>في المستشفيات العامة تم حساب القوى العاملة للعنايات المركزة بناءً على نسبة عدد أسرة العناية المركزة لجميع الفئات وهي 20% من السعة السريرية وتقسم كالتالي: 10% أسرة أطفال حديثي الولادة، 7% أسرة عناية للكبار، 3% أسرة عناية للأطفال. وفي المستشفيات ذات السعة 100 سرير وأقل تقسم كالتالي: 11% حديثي الولادة، 9% عناية للكبار.</t>
        </is>
      </c>
    </row>
    <row r="18" ht="30" customHeight="1">
      <c r="A18" s="68" t="n">
        <v>14</v>
      </c>
      <c r="B18" s="60" t="inlineStr">
        <is>
          <t>في مستشفيات الولادة والأطفال تم حساب القوى العاملة للعنايات المركزة بناءً على نسبة 20% من السعة السريرية وتقسم كالتالي: 7% أسرة عناية أطفال، 13% أسرة أطفال حديثي ولادة.</t>
        </is>
      </c>
    </row>
    <row r="19" ht="28" customHeight="1">
      <c r="A19" s="68" t="n">
        <v>15</v>
      </c>
      <c r="B19" s="60" t="inlineStr">
        <is>
          <t>عدد أسرة قسم الطوارئ لا تقل عن 10% من أسرّة المستشفى ويمكن الزيادة بحسب عدد زيارات المرضى.</t>
        </is>
      </c>
    </row>
    <row r="20" ht="30" customHeight="1">
      <c r="A20" s="68" t="n">
        <v>16</v>
      </c>
      <c r="B20" s="60" t="inlineStr">
        <is>
          <t>عدد الأطباء في قسم الطوارئ (استشاريين وأخصائيين وأطباء مقيمين) لابد أن يكون كافياً لتغطية العمل على مدار الساعة بنظام الورديات وبحسب عدد زيارات المرضى ومستوى خطورتها وتعقيدها.</t>
        </is>
      </c>
    </row>
    <row r="21" ht="30" customHeight="1">
      <c r="A21" s="68" t="n">
        <v>17</v>
      </c>
      <c r="B21" s="60" t="inlineStr">
        <is>
          <t>لابد من الأخذ في الاعتبار العدد القادر على تغطية العمل في قسم الطوارئ في الأوقات والأيام عالية الضغط وكذلك لتغطية العجز (مرض أو ظروف قاهرة وغيرها).</t>
        </is>
      </c>
    </row>
    <row r="22" ht="30" customHeight="1">
      <c r="A22" s="68" t="n">
        <v>18</v>
      </c>
      <c r="B22" s="60" t="inlineStr">
        <is>
          <t>في كل وردية لابد من وجود استشاري أو أخصائي حاصل على شهادة الاختصاص في طب الطوارئ في أقسام طوارئ الكبار، واستشاري أو أخصائي حاصل على زمالة طوارئ الأطفال في أقسام طوارئ الأطفال.</t>
        </is>
      </c>
    </row>
    <row r="23" ht="28" customHeight="1">
      <c r="A23" s="68" t="n">
        <v>19</v>
      </c>
      <c r="B23" s="60" t="inlineStr">
        <is>
          <t>يتم اعتماد معيار تخصصات الجراحة العامة في حال كان المستشفى مرجعياً.</t>
        </is>
      </c>
    </row>
    <row r="24" ht="28" customHeight="1">
      <c r="A24" s="68" t="n">
        <v>20</v>
      </c>
      <c r="B24" s="60" t="inlineStr">
        <is>
          <t>يتم اعتماد معيار العظام في حال كان المستشفى مرجعياً.</t>
        </is>
      </c>
    </row>
    <row r="25" ht="28" customHeight="1">
      <c r="A25" s="68" t="n">
        <v>21</v>
      </c>
      <c r="B25" s="60" t="inlineStr">
        <is>
          <t>الفئات الطبية المساعدة تشمل أخصائي غير طبيب وفني بدون تمريض ومساعد صحي.</t>
        </is>
      </c>
    </row>
    <row r="26" ht="30" customHeight="1">
      <c r="A26" s="68" t="n">
        <v>22</v>
      </c>
      <c r="B26" s="60" t="inlineStr">
        <is>
          <t>يتم توزيع أعداد القوى العاملة للعلاج التنفسي من حيث التصنيف على النحو التالي: 20% فني، 20% أخصائي أول، 55% أخصائي، 5% استشاري.</t>
        </is>
      </c>
    </row>
    <row r="27" ht="45" customHeight="1">
      <c r="A27" s="68" t="n">
        <v>23</v>
      </c>
      <c r="B27" s="60" t="inlineStr">
        <is>
          <t>فئة استشاري علاج تنفسي تكون في المستشفيات التي يوجد بها أسرة عناية مركزة، وفي حال عدم وجود أسرة عناية مركزة تضاف النسبة إلى فئة الأخصائيين حيث تكون النسبة 60% من إجمالي أعداد القوى العاملة للأخصائيين.</t>
        </is>
      </c>
    </row>
    <row r="28" ht="30" customHeight="1">
      <c r="A28" s="68" t="n">
        <v>24</v>
      </c>
      <c r="B28" s="60" t="inlineStr">
        <is>
          <t>في حال وجود عيادات خاصة بالعلاج التنفسي يتم تأمين عدد 2 أخصائي علاج تنفسي لكل عيادة، كذلك أخصائي أول علاج تنفسي كمشرف على العيادات.</t>
        </is>
      </c>
    </row>
    <row r="29" ht="28" customHeight="1">
      <c r="A29" s="68" t="n">
        <v>25</v>
      </c>
      <c r="B29" s="60" t="inlineStr">
        <is>
          <t>تم أخذ المتوسط لعدد الأسرة لكل أخصائي علاج تنفسي بـ 1:5.</t>
        </is>
      </c>
    </row>
    <row r="30" ht="28" customHeight="1">
      <c r="A30" s="68" t="n">
        <v>26</v>
      </c>
      <c r="B30" s="60" t="inlineStr">
        <is>
          <t>الأسرة المتحركة هي (العيادات – الطوارئ – أقسام الولادة – الأقسام الفنية الإدارية).</t>
        </is>
      </c>
    </row>
    <row r="31" ht="30" customHeight="1">
      <c r="A31" s="68" t="n">
        <v>27</v>
      </c>
      <c r="B31" s="60" t="inlineStr">
        <is>
          <t>الأقسام الفنية الإدارية هي (التدريب والتعليم – مكافحة العدوى – الجودة التمريضية – التعقيم – إلخ).</t>
        </is>
      </c>
    </row>
    <row r="32" ht="28" customHeight="1">
      <c r="A32" s="68" t="n">
        <v>28</v>
      </c>
      <c r="B32" s="60" t="inlineStr">
        <is>
          <t>المعيار للتمريض في حال اعتماد الأسرة المتحركة يبقى كما هو 1.68 – 2.84.</t>
        </is>
      </c>
    </row>
    <row r="33" ht="28" customHeight="1">
      <c r="A33" s="68" t="n">
        <v>29</v>
      </c>
      <c r="B33" s="60" t="inlineStr">
        <is>
          <t>المعيار للتمريض في حال عدم اعتماد الأسرة المتحركة يصبح 2.84 – 3.36.</t>
        </is>
      </c>
    </row>
    <row r="34" ht="28" customHeight="1">
      <c r="A34" s="68" t="n">
        <v>30</v>
      </c>
      <c r="B34" s="60" t="inlineStr">
        <is>
          <t>أخصائي استشاري تمريض 0.5% تبدأ من 300 سرير وما فوق، وفي الأقل تضاف 0.5% لمسمى أخصائي تمريض.</t>
        </is>
      </c>
    </row>
    <row r="35" ht="28" customHeight="1">
      <c r="A35" s="68" t="n">
        <v>31</v>
      </c>
      <c r="B35" s="60" t="inlineStr">
        <is>
          <t>عند تخريج أو فتح معاهد أو كليات للفنيين يتم الزيادة تدريجياً لحين الوصول للمستهدف.</t>
        </is>
      </c>
    </row>
    <row r="36" ht="30" customHeight="1">
      <c r="A36" s="68" t="n">
        <v>32</v>
      </c>
      <c r="B36" s="60" t="inlineStr">
        <is>
          <t>تم تعديل مسمى كاتب وكاتب جناح وموظف استقبال ومشغل حاسب آلي إلى مسمى مساعد إداري توافقاً مع الدليل السعودي الموحد للمهن.</t>
        </is>
      </c>
    </row>
    <row r="37" ht="45" customHeight="1">
      <c r="A37" s="68" t="n">
        <v>33</v>
      </c>
      <c r="B37" s="60" t="inlineStr">
        <is>
          <t>لا يوجد اختلاف من حيث العدد في قسم الأشعة، وإنما التحديث في إدخال بعض المسميات التقنية لوجود مخرجات من الجامعات الداخلية والخارجية وبرامج الزمالات لتلك الدرجات، وعليه تم إعادة توزيع الأعداد فقط.</t>
        </is>
      </c>
    </row>
    <row r="38" ht="28" customHeight="1">
      <c r="A38" s="68" t="n">
        <v>34</v>
      </c>
      <c r="B38" s="60" t="inlineStr">
        <is>
          <t>يتم اعتماد معيار التأهيل الطبي في المستشفيات التي يتوفر بها مركز تأهيل معتمد.</t>
        </is>
      </c>
    </row>
    <row r="39" ht="28" customHeight="1">
      <c r="A39" s="68" t="n">
        <v>35</v>
      </c>
      <c r="B39" s="60" t="inlineStr">
        <is>
          <t>في حال تقديم المستشفى لخدمات الأطفال يضاف طبيب مسالك بولية أطفال عدد (1) لسعة 400/500 سرير.</t>
        </is>
      </c>
    </row>
    <row r="40" ht="30" customHeight="1">
      <c r="A40" s="68" t="n">
        <v>36</v>
      </c>
      <c r="B40" s="60" t="inlineStr">
        <is>
          <t>في المستشفيات التخصصية 500 سرير وما فوق تكون القوى العاملة للتخصصات الدقيقة التابعة للمسالك البولية على النحو التالي: 2 استشاري لكل تخصص، 1 أخصائي لكل 2 استشاري، 4 مقيم لكل استشاري.</t>
        </is>
      </c>
    </row>
    <row r="41" ht="28" customHeight="1">
      <c r="A41" s="68" t="n">
        <v>37</v>
      </c>
      <c r="B41" s="60" t="inlineStr">
        <is>
          <t>تطبق المسميات من 21 إلى 30 في حال توفّر خدمات الأورام في المنشأة.</t>
        </is>
      </c>
    </row>
    <row r="42" ht="28" customHeight="1">
      <c r="A42" s="68" t="n">
        <v>38</v>
      </c>
      <c r="B42" s="60" t="inlineStr">
        <is>
          <t>يطبق معيار استشاري زراعة القوقعة في حال اعتماد مركز متخصص لزراعة القوقعة.</t>
        </is>
      </c>
    </row>
    <row r="43" ht="28" customHeight="1">
      <c r="A43" s="68" t="n">
        <v>39</v>
      </c>
      <c r="B43" s="60" t="inlineStr">
        <is>
          <t>يطبق معيار استشاري عقم وأطفال أنابيب في حال اعتماد مركز للعقم في المنشأة.</t>
        </is>
      </c>
    </row>
    <row r="44" ht="30" customHeight="1">
      <c r="A44" s="68" t="n">
        <v>40</v>
      </c>
      <c r="B44" s="60" t="inlineStr">
        <is>
          <t>تم إضافة فني رعاية مرضى (مساعدة ممرضة سابقاً) بناءً على معايير وتعميم الهيئة السعودية للتخصصات الصحية.</t>
        </is>
      </c>
    </row>
    <row r="45" ht="28" customHeight="1">
      <c r="A45" s="68" t="n">
        <v>41</v>
      </c>
      <c r="B45" s="60" t="inlineStr">
        <is>
          <t>يطبق معيار جراحة السمنة في حال كان المركز معتمداً.</t>
        </is>
      </c>
    </row>
    <row r="46" ht="28" customHeight="1">
      <c r="A46" s="68" t="n">
        <v>42</v>
      </c>
      <c r="B46" s="60" t="inlineStr">
        <is>
          <t>يشترط لتطبيق المعيار توفّر نطاق الخدمة في المنشأة.</t>
        </is>
      </c>
    </row>
  </sheetData>
  <mergeCells count="45">
    <mergeCell ref="B16:C16"/>
    <mergeCell ref="B7:C7"/>
    <mergeCell ref="B25:C25"/>
    <mergeCell ref="B46:C46"/>
    <mergeCell ref="B22:C22"/>
    <mergeCell ref="B31:C31"/>
    <mergeCell ref="B18:C18"/>
    <mergeCell ref="B27:C27"/>
    <mergeCell ref="A2:C2"/>
    <mergeCell ref="B43:C43"/>
    <mergeCell ref="B12:C12"/>
    <mergeCell ref="B39:C39"/>
    <mergeCell ref="B21:C21"/>
    <mergeCell ref="B11:C11"/>
    <mergeCell ref="B42:C42"/>
    <mergeCell ref="B23:C23"/>
    <mergeCell ref="B14:C14"/>
    <mergeCell ref="B17:C17"/>
    <mergeCell ref="B8:C8"/>
    <mergeCell ref="B13:C13"/>
    <mergeCell ref="B38:C38"/>
    <mergeCell ref="B44:C44"/>
    <mergeCell ref="B29:C29"/>
    <mergeCell ref="B19:C19"/>
    <mergeCell ref="B34:C34"/>
    <mergeCell ref="B37:C37"/>
    <mergeCell ref="B10:C10"/>
    <mergeCell ref="B28:C28"/>
    <mergeCell ref="B40:C40"/>
    <mergeCell ref="B9:C9"/>
    <mergeCell ref="B6:C6"/>
    <mergeCell ref="B24:C24"/>
    <mergeCell ref="B30:C30"/>
    <mergeCell ref="B15:C15"/>
    <mergeCell ref="B33:C33"/>
    <mergeCell ref="A1:C1"/>
    <mergeCell ref="B5:C5"/>
    <mergeCell ref="B20:C20"/>
    <mergeCell ref="B45:C45"/>
    <mergeCell ref="B36:C36"/>
    <mergeCell ref="B32:C32"/>
    <mergeCell ref="B26:C26"/>
    <mergeCell ref="B41:C41"/>
    <mergeCell ref="B35:C35"/>
    <mergeCell ref="B4:C4"/>
  </mergeCells>
  <pageMargins left="0.75" right="0.75" top="1" bottom="1" header="0.5" footer="0.5"/>
</worksheet>
</file>

<file path=xl/worksheets/sheet21.xml><?xml version="1.0" encoding="utf-8"?>
<worksheet xmlns="http://schemas.openxmlformats.org/spreadsheetml/2006/main">
  <sheetPr>
    <tabColor rgb="00A6A6A6"/>
    <outlinePr summaryBelow="1" summaryRight="1"/>
    <pageSetUpPr/>
  </sheetPr>
  <dimension ref="A1:F25"/>
  <sheetViews>
    <sheetView rightToLeft="1" workbookViewId="0">
      <selection activeCell="A1" sqref="A1"/>
    </sheetView>
  </sheetViews>
  <sheetFormatPr baseColWidth="8" defaultRowHeight="15"/>
  <cols>
    <col width="30" customWidth="1" min="1" max="1"/>
    <col width="24" customWidth="1" min="2" max="2"/>
    <col width="20" customWidth="1" min="3" max="3"/>
    <col width="20" customWidth="1" min="4" max="4"/>
    <col width="14" customWidth="1" min="5" max="5"/>
    <col width="26" customWidth="1" min="6" max="6"/>
  </cols>
  <sheetData>
    <row r="1" ht="30" customHeight="1">
      <c r="A1" s="1" t="inlineStr">
        <is>
          <t>تدقيق مطابقة النموذج لأرقام الدليل</t>
        </is>
      </c>
    </row>
    <row r="2" ht="20" customHeight="1">
      <c r="A2" s="2" t="inlineStr">
        <is>
          <t>لكل ورقة معيار: مجموع الصفوف المُدخلة في النموذج مقابل المجموع المنشور في الدليل عند كل شريحة سعة.</t>
        </is>
      </c>
    </row>
    <row r="4" ht="32" customHeight="1">
      <c r="A4" s="51" t="inlineStr">
        <is>
          <t>ورقة المعيار</t>
        </is>
      </c>
      <c r="B4" s="51" t="inlineStr">
        <is>
          <t>عدد المسميات</t>
        </is>
      </c>
      <c r="C4" s="51" t="inlineStr">
        <is>
          <t>المجموع الكلي (محسوب)</t>
        </is>
      </c>
      <c r="D4" s="51" t="inlineStr">
        <is>
          <t>المجموع الكلي (منشور)</t>
        </is>
      </c>
      <c r="E4" s="51" t="inlineStr">
        <is>
          <t>الفرق</t>
        </is>
      </c>
      <c r="F4" s="51" t="inlineStr">
        <is>
          <t>النتيجة</t>
        </is>
      </c>
    </row>
    <row r="5">
      <c r="A5" s="62" t="inlineStr">
        <is>
          <t>عام - الأطباء</t>
        </is>
      </c>
      <c r="B5" s="12" t="n">
        <v>152</v>
      </c>
      <c r="C5" s="12">
        <f>SUM('عام - الأطباء'!$D$5:$J$156)</f>
        <v/>
      </c>
      <c r="D5" s="12" t="n">
        <v>2607</v>
      </c>
      <c r="E5" s="12">
        <f>IF(D5="","",C5-D5)</f>
        <v/>
      </c>
      <c r="F5" s="16">
        <f>IF(D5="","لا يوجد مجموع منشور مستقل",IF(E5=0,"مطابق تماماً","فرق يستوجب المراجعة"))</f>
        <v/>
      </c>
    </row>
    <row r="6">
      <c r="A6" s="62" t="inlineStr">
        <is>
          <t>عام - أخصائي غير طبيب</t>
        </is>
      </c>
      <c r="B6" s="12" t="n">
        <v>73</v>
      </c>
      <c r="C6" s="12">
        <f>SUM('عام - أخصائي غير طبيب'!$D$5:$J$77)</f>
        <v/>
      </c>
      <c r="D6" s="12" t="n">
        <v>6497</v>
      </c>
      <c r="E6" s="12">
        <f>IF(D6="","",C6-D6)</f>
        <v/>
      </c>
      <c r="F6" s="16">
        <f>IF(D6="","لا يوجد مجموع منشور مستقل",IF(E6=0,"مطابق تماماً","فرق يستوجب المراجعة"))</f>
        <v/>
      </c>
    </row>
    <row r="7">
      <c r="A7" s="62" t="inlineStr">
        <is>
          <t>عام - الفنيون</t>
        </is>
      </c>
      <c r="B7" s="12" t="n">
        <v>30</v>
      </c>
      <c r="C7" s="12">
        <f>SUM('عام - الفنيون'!$D$5:$J$34)</f>
        <v/>
      </c>
      <c r="D7" s="12" t="n">
        <v>2967</v>
      </c>
      <c r="E7" s="12">
        <f>IF(D7="","",C7-D7)</f>
        <v/>
      </c>
      <c r="F7" s="16">
        <f>IF(D7="","لا يوجد مجموع منشور مستقل",IF(E7=0,"مطابق تماماً","فرق يستوجب المراجعة"))</f>
        <v/>
      </c>
    </row>
    <row r="8">
      <c r="A8" s="62" t="inlineStr">
        <is>
          <t>عام - الصيادلة</t>
        </is>
      </c>
      <c r="B8" s="12" t="n">
        <v>7</v>
      </c>
      <c r="C8" s="12">
        <f>SUM('عام - الصيادلة'!$D$5:$J$11)</f>
        <v/>
      </c>
      <c r="D8" s="12" t="n">
        <v>1148</v>
      </c>
      <c r="E8" s="12">
        <f>IF(D8="","",C8-D8)</f>
        <v/>
      </c>
      <c r="F8" s="16">
        <f>IF(D8="","لا يوجد مجموع منشور مستقل",IF(E8=0,"مطابق تماماً","فرق يستوجب المراجعة"))</f>
        <v/>
      </c>
    </row>
    <row r="9">
      <c r="A9" s="62" t="inlineStr">
        <is>
          <t>عام - المساعد الصحي</t>
        </is>
      </c>
      <c r="B9" s="12" t="n">
        <v>5</v>
      </c>
      <c r="C9" s="12">
        <f>SUM('عام - المساعد الصحي'!$D$5:$J$9)</f>
        <v/>
      </c>
      <c r="D9" s="12" t="n">
        <v>962</v>
      </c>
      <c r="E9" s="12">
        <f>IF(D9="","",C9-D9)</f>
        <v/>
      </c>
      <c r="F9" s="16">
        <f>IF(D9="","لا يوجد مجموع منشور مستقل",IF(E9=0,"مطابق تماماً","فرق يستوجب المراجعة"))</f>
        <v/>
      </c>
    </row>
    <row r="10">
      <c r="A10" s="62" t="inlineStr">
        <is>
          <t>عام - الإداريون</t>
        </is>
      </c>
      <c r="B10" s="12" t="n">
        <v>51</v>
      </c>
      <c r="C10" s="12">
        <f>SUM('عام - الإداريون'!$D$5:$J$55)</f>
        <v/>
      </c>
      <c r="D10" s="12" t="n">
        <v>1521</v>
      </c>
      <c r="E10" s="12">
        <f>IF(D10="","",C10-D10)</f>
        <v/>
      </c>
      <c r="F10" s="16">
        <f>IF(D10="","لا يوجد مجموع منشور مستقل",IF(E10=0,"مطابق تماماً","فرق يستوجب المراجعة"))</f>
        <v/>
      </c>
    </row>
    <row r="11">
      <c r="A11" s="62" t="inlineStr">
        <is>
          <t>ولادة - الأطباء</t>
        </is>
      </c>
      <c r="B11" s="12" t="n">
        <v>104</v>
      </c>
      <c r="C11" s="12">
        <f>SUM('ولادة - الأطباء'!$D$5:$I$108)</f>
        <v/>
      </c>
      <c r="D11" s="12" t="n">
        <v>2377</v>
      </c>
      <c r="E11" s="12">
        <f>IF(D11="","",C11-D11)</f>
        <v/>
      </c>
      <c r="F11" s="16">
        <f>IF(D11="","لا يوجد مجموع منشور مستقل",IF(E11=0,"مطابق تماماً","فرق يستوجب المراجعة"))</f>
        <v/>
      </c>
    </row>
    <row r="12">
      <c r="A12" s="62" t="inlineStr">
        <is>
          <t>ولادة - أخصائي غير طبيب</t>
        </is>
      </c>
      <c r="B12" s="12" t="n">
        <v>69</v>
      </c>
      <c r="C12" s="12">
        <f>SUM('ولادة - أخصائي غير طبيب'!$D$5:$I$73)</f>
        <v/>
      </c>
      <c r="D12" s="12" t="inlineStr"/>
      <c r="E12" s="12">
        <f>IF(D12="","",C12-D12)</f>
        <v/>
      </c>
      <c r="F12" s="16">
        <f>IF(D12="","لا يوجد مجموع منشور مستقل",IF(E12=0,"مطابق تماماً","فرق يستوجب المراجعة"))</f>
        <v/>
      </c>
    </row>
    <row r="13">
      <c r="A13" s="62" t="inlineStr">
        <is>
          <t>ولادة - الفنيون</t>
        </is>
      </c>
      <c r="B13" s="12" t="n">
        <v>29</v>
      </c>
      <c r="C13" s="12">
        <f>SUM('ولادة - الفنيون'!$D$5:$I$33)</f>
        <v/>
      </c>
      <c r="D13" s="12" t="n">
        <v>2845</v>
      </c>
      <c r="E13" s="12">
        <f>IF(D13="","",C13-D13)</f>
        <v/>
      </c>
      <c r="F13" s="16">
        <f>IF(D13="","لا يوجد مجموع منشور مستقل",IF(E13=0,"مطابق تماماً","فرق يستوجب المراجعة"))</f>
        <v/>
      </c>
    </row>
    <row r="14">
      <c r="A14" s="62" t="inlineStr">
        <is>
          <t>ولادة - الصيادلة</t>
        </is>
      </c>
      <c r="B14" s="12" t="n">
        <v>7</v>
      </c>
      <c r="C14" s="12">
        <f>SUM('ولادة - الصيادلة'!$D$5:$I$11)</f>
        <v/>
      </c>
      <c r="D14" s="12" t="n">
        <v>1113</v>
      </c>
      <c r="E14" s="12">
        <f>IF(D14="","",C14-D14)</f>
        <v/>
      </c>
      <c r="F14" s="16">
        <f>IF(D14="","لا يوجد مجموع منشور مستقل",IF(E14=0,"مطابق تماماً","فرق يستوجب المراجعة"))</f>
        <v/>
      </c>
    </row>
    <row r="15">
      <c r="A15" s="62" t="inlineStr">
        <is>
          <t>ولادة - الإداريون</t>
        </is>
      </c>
      <c r="B15" s="12" t="n">
        <v>54</v>
      </c>
      <c r="C15" s="12">
        <f>SUM('ولادة - الإداريون'!$D$5:$I$58)</f>
        <v/>
      </c>
      <c r="D15" s="12" t="n">
        <v>765</v>
      </c>
      <c r="E15" s="12">
        <f>IF(D15="","",C15-D15)</f>
        <v/>
      </c>
      <c r="F15" s="16">
        <f>IF(D15="","لا يوجد مجموع منشور مستقل",IF(E15=0,"مطابق تماماً","فرق يستوجب المراجعة"))</f>
        <v/>
      </c>
    </row>
    <row r="16">
      <c r="A16" s="62" t="inlineStr">
        <is>
          <t>الصحة النفسية وإرادة</t>
        </is>
      </c>
      <c r="B16" s="12" t="n">
        <v>37</v>
      </c>
      <c r="C16" s="12">
        <f>SUM('الصحة النفسية وإرادة'!$D$5:$I$41)</f>
        <v/>
      </c>
      <c r="D16" s="12" t="n">
        <v>8278</v>
      </c>
      <c r="E16" s="12">
        <f>IF(D16="","",C16-D16)</f>
        <v/>
      </c>
      <c r="F16" s="16">
        <f>IF(D16="","لا يوجد مجموع منشور مستقل",IF(E16=0,"مطابق تماماً","فرق يستوجب المراجعة"))</f>
        <v/>
      </c>
    </row>
    <row r="17">
      <c r="A17" s="62" t="inlineStr">
        <is>
          <t>الرعاية المديدة - الفنية</t>
        </is>
      </c>
      <c r="B17" s="12" t="n">
        <v>70</v>
      </c>
      <c r="C17" s="12">
        <f>SUM('الرعاية المديدة - الفنية'!$D$5:$G$74)</f>
        <v/>
      </c>
      <c r="D17" s="12" t="n">
        <v>4030</v>
      </c>
      <c r="E17" s="12">
        <f>IF(D17="","",C17-D17)</f>
        <v/>
      </c>
      <c r="F17" s="16">
        <f>IF(D17="","لا يوجد مجموع منشور مستقل",IF(E17=0,"مطابق تماماً","فرق يستوجب المراجعة"))</f>
        <v/>
      </c>
    </row>
    <row r="18">
      <c r="A18" s="62" t="inlineStr">
        <is>
          <t>الرعاية المديدة - الإداريون</t>
        </is>
      </c>
      <c r="B18" s="12" t="n">
        <v>26</v>
      </c>
      <c r="C18" s="12">
        <f>SUM('الرعاية المديدة - الإداريون'!$D$5:$G$30)</f>
        <v/>
      </c>
      <c r="D18" s="12" t="n">
        <v>832</v>
      </c>
      <c r="E18" s="12">
        <f>IF(D18="","",C18-D18)</f>
        <v/>
      </c>
      <c r="F18" s="16">
        <f>IF(D18="","لا يوجد مجموع منشور مستقل",IF(E18=0,"مطابق تماماً","فرق يستوجب المراجعة"))</f>
        <v/>
      </c>
    </row>
    <row r="20">
      <c r="A20" s="47" t="inlineStr">
        <is>
          <t>ملاحظات التدقيق على الدليل المصدر</t>
        </is>
      </c>
    </row>
    <row r="21" ht="40" customHeight="1">
      <c r="A21" s="69" t="inlineStr">
        <is>
          <t>ورقة «ولادة - الفنيون»</t>
        </is>
      </c>
      <c r="B21" s="70" t="inlineStr">
        <is>
          <t>جدول الفنيين في الملحق (2) يتضمن صف «فني ترميز طبي» (2/3/3/3/4/4) دون رقم تسلسلي، وهو غير مُدرج في المجموع المنشور (186/270/355/510/680/844). النموذج يحتسبه ضمن المجموع، ولذلك يظهر فرق ثابت قدره 19 وظيفة.</t>
        </is>
      </c>
    </row>
    <row r="22" ht="40" customHeight="1">
      <c r="A22" s="69" t="inlineStr">
        <is>
          <t>ورقة «ولادة - الفنيون» — فني قبالة</t>
        </is>
      </c>
      <c r="B22" s="70" t="inlineStr">
        <is>
          <t>القيمة عند 300 سرير (12) تخالف تدرّج بقية الشرائح (2/3/4/…/6/10)؛ أُبقيت كما وردت في الدليل حرفياً.</t>
        </is>
      </c>
    </row>
    <row r="23" ht="40" customHeight="1">
      <c r="A23" s="69" t="inlineStr">
        <is>
          <t>ورقة «الطب الشرعي»</t>
        </is>
      </c>
      <c r="B23" s="70" t="inlineStr">
        <is>
          <t>المجموع المنشور لقسم إدارة الطب الشرعي = 11 بينما مجموع المعدلات (2+3+4) = 9؛ الفارق يعادل بند فني تمريض.</t>
        </is>
      </c>
    </row>
    <row r="24" ht="40" customHeight="1">
      <c r="A24" s="69" t="inlineStr">
        <is>
          <t>جدول الملخص التنفيذي (صفحة 21)</t>
        </is>
      </c>
      <c r="B24" s="70" t="inlineStr">
        <is>
          <t>أرقام ملخص الأطباء في صفحة 21 (804/971/820 = 2595) تختلف قليلاً عن الجدول التفصيلي في صفحات 22-25 (807/980/820 = 2607). النموذج يعتمد الجدول التفصيلي لأنه المصدر الملزم.</t>
        </is>
      </c>
    </row>
    <row r="25" ht="40" customHeight="1">
      <c r="A25" s="69" t="inlineStr">
        <is>
          <t>منهجية المعدلات</t>
        </is>
      </c>
      <c r="B25" s="70" t="inlineStr">
        <is>
          <t>المعدلات المنشورة «لكل سرير» محسوبة على مجموع المستشفيات النموذجية السبعة (1700 سرير) وليست معدلاً لكل شريحة، وهو ما يفسّر اختلافها عن معدل أي مستشفى منفرد.</t>
        </is>
      </c>
    </row>
  </sheetData>
  <mergeCells count="8">
    <mergeCell ref="B21:F21"/>
    <mergeCell ref="A2:F2"/>
    <mergeCell ref="B24:F24"/>
    <mergeCell ref="A1:F1"/>
    <mergeCell ref="B25:F25"/>
    <mergeCell ref="B23:F23"/>
    <mergeCell ref="B22:F22"/>
    <mergeCell ref="A20:F20"/>
  </mergeCells>
  <conditionalFormatting sqref="F5:F18">
    <cfRule type="expression" priority="1" dxfId="1">
      <formula>F5="مطابق تماماً"</formula>
    </cfRule>
    <cfRule type="expression" priority="2" dxfId="0">
      <formula>F5="فرق يستوجب المراجعة"</formula>
    </cfRule>
  </conditionalFormatting>
  <pageMargins left="0.75" right="0.75" top="1" bottom="1" header="0.5" footer="0.5"/>
</worksheet>
</file>

<file path=xl/worksheets/sheet22.xml><?xml version="1.0" encoding="utf-8"?>
<worksheet xmlns="http://schemas.openxmlformats.org/spreadsheetml/2006/main">
  <sheetPr>
    <tabColor rgb="00A6A6A6"/>
    <outlinePr summaryBelow="1" summaryRight="1"/>
    <pageSetUpPr/>
  </sheetPr>
  <dimension ref="A1:I11"/>
  <sheetViews>
    <sheetView rightToLeft="1"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30" customHeight="1">
      <c r="A1" s="1" t="inlineStr">
        <is>
          <t>مصفوفة التجميع حسب الفئة ونوع المستشفى (ورقة حسابية وسيطة — لا تُعدَّل)</t>
        </is>
      </c>
    </row>
    <row r="2">
      <c r="A2" s="71" t="inlineStr">
        <is>
          <t>تجمع هذه الورقة نتائج أوراق المعايير حسب عمود «الفئة» لتغذية لوحة التحكم.</t>
        </is>
      </c>
      <c r="B2" s="72" t="inlineStr">
        <is>
          <t>مستشفى عام</t>
        </is>
      </c>
      <c r="C2" s="72" t="inlineStr">
        <is>
          <t>مستشفى ولادة وأطفال</t>
        </is>
      </c>
      <c r="D2" s="72" t="inlineStr">
        <is>
          <t>مجمع إرادة والصحة النفسية</t>
        </is>
      </c>
      <c r="E2" s="72" t="inlineStr">
        <is>
          <t>مستشفى رعاية مديدة</t>
        </is>
      </c>
      <c r="F2" s="72" t="inlineStr">
        <is>
          <t>مستشفى عام</t>
        </is>
      </c>
      <c r="G2" s="72" t="inlineStr">
        <is>
          <t>مستشفى ولادة وأطفال</t>
        </is>
      </c>
      <c r="H2" s="72" t="inlineStr">
        <is>
          <t>مجمع إرادة والصحة النفسية</t>
        </is>
      </c>
      <c r="I2" s="72" t="inlineStr">
        <is>
          <t>مستشفى رعاية مديدة</t>
        </is>
      </c>
    </row>
    <row r="3" ht="40" customHeight="1">
      <c r="A3" s="67" t="inlineStr">
        <is>
          <t>الفئة</t>
        </is>
      </c>
      <c r="B3" s="73" t="inlineStr">
        <is>
          <t>مستشفى عام — احتياج</t>
        </is>
      </c>
      <c r="C3" s="73" t="inlineStr">
        <is>
          <t>مستشفى ولادة وأطفال — احتياج</t>
        </is>
      </c>
      <c r="D3" s="73" t="inlineStr">
        <is>
          <t>مجمع إرادة والصحة النفسية — احتياج</t>
        </is>
      </c>
      <c r="E3" s="73" t="inlineStr">
        <is>
          <t>مستشفى رعاية مديدة — احتياج</t>
        </is>
      </c>
      <c r="F3" s="73" t="inlineStr">
        <is>
          <t>مستشفى عام — موجود</t>
        </is>
      </c>
      <c r="G3" s="73" t="inlineStr">
        <is>
          <t>مستشفى ولادة وأطفال — موجود</t>
        </is>
      </c>
      <c r="H3" s="73" t="inlineStr">
        <is>
          <t>مجمع إرادة والصحة النفسية — موجود</t>
        </is>
      </c>
      <c r="I3" s="73" t="inlineStr">
        <is>
          <t>مستشفى رعاية مديدة — موجود</t>
        </is>
      </c>
    </row>
    <row r="4">
      <c r="A4" s="74" t="inlineStr">
        <is>
          <t>طبيب</t>
        </is>
      </c>
      <c r="B4" s="75">
        <f>SUMIF('عام - الأطباء'!$B$5:$B$156,$A4,'عام - الأطباء'!$K$5:$K$156)+SUMIF('عام - أخصائي غير طبيب'!$B$5:$B$77,$A4,'عام - أخصائي غير طبيب'!$K$5:$K$77)+SUMIF('عام - الفنيون'!$B$5:$B$34,$A4,'عام - الفنيون'!$K$5:$K$34)+SUMIF('عام - الصيادلة'!$B$5:$B$11,$A4,'عام - الصيادلة'!$K$5:$K$11)+SUMIF('عام - المساعد الصحي'!$B$5:$B$9,$A4,'عام - المساعد الصحي'!$K$5:$K$9)+SUMIF('عام - الإداريون'!$B$5:$B$55,$A4,'عام - الإداريون'!$K$5:$K$55)</f>
        <v/>
      </c>
      <c r="C4" s="75">
        <f>SUMIF('ولادة - الأطباء'!$B$5:$B$108,$A4,'ولادة - الأطباء'!$J$5:$J$108)+SUMIF('ولادة - أخصائي غير طبيب'!$B$5:$B$73,$A4,'ولادة - أخصائي غير طبيب'!$J$5:$J$73)+SUMIF('ولادة - الفنيون'!$B$5:$B$33,$A4,'ولادة - الفنيون'!$J$5:$J$33)+SUMIF('ولادة - الصيادلة'!$B$5:$B$11,$A4,'ولادة - الصيادلة'!$J$5:$J$11)+SUMIF('ولادة - الإداريون'!$B$5:$B$58,$A4,'ولادة - الإداريون'!$J$5:$J$58)</f>
        <v/>
      </c>
      <c r="D4" s="75">
        <f>SUMIF('الصحة النفسية وإرادة'!$B$5:$B$41,$A4,'الصحة النفسية وإرادة'!$J$5:$J$41)</f>
        <v/>
      </c>
      <c r="E4" s="75">
        <f>SUMIF('الرعاية المديدة - الفنية'!$B$5:$B$74,$A4,'الرعاية المديدة - الفنية'!$H$5:$H$74)+SUMIF('الرعاية المديدة - الإداريون'!$B$5:$B$30,$A4,'الرعاية المديدة - الإداريون'!$H$5:$H$30)</f>
        <v/>
      </c>
      <c r="F4" s="75">
        <f>SUMIF('عام - الأطباء'!$B$5:$B$156,$A4,'عام - الأطباء'!$L$5:$L$156)+SUMIF('عام - أخصائي غير طبيب'!$B$5:$B$77,$A4,'عام - أخصائي غير طبيب'!$L$5:$L$77)+SUMIF('عام - الفنيون'!$B$5:$B$34,$A4,'عام - الفنيون'!$L$5:$L$34)+SUMIF('عام - الصيادلة'!$B$5:$B$11,$A4,'عام - الصيادلة'!$L$5:$L$11)+SUMIF('عام - المساعد الصحي'!$B$5:$B$9,$A4,'عام - المساعد الصحي'!$L$5:$L$9)+SUMIF('عام - الإداريون'!$B$5:$B$55,$A4,'عام - الإداريون'!$L$5:$L$55)</f>
        <v/>
      </c>
      <c r="G4" s="75">
        <f>SUMIF('ولادة - الأطباء'!$B$5:$B$108,$A4,'ولادة - الأطباء'!$K$5:$K$108)+SUMIF('ولادة - أخصائي غير طبيب'!$B$5:$B$73,$A4,'ولادة - أخصائي غير طبيب'!$K$5:$K$73)+SUMIF('ولادة - الفنيون'!$B$5:$B$33,$A4,'ولادة - الفنيون'!$K$5:$K$33)+SUMIF('ولادة - الصيادلة'!$B$5:$B$11,$A4,'ولادة - الصيادلة'!$K$5:$K$11)+SUMIF('ولادة - الإداريون'!$B$5:$B$58,$A4,'ولادة - الإداريون'!$K$5:$K$58)</f>
        <v/>
      </c>
      <c r="H4" s="75">
        <f>SUMIF('الصحة النفسية وإرادة'!$B$5:$B$41,$A4,'الصحة النفسية وإرادة'!$K$5:$K$41)</f>
        <v/>
      </c>
      <c r="I4" s="75">
        <f>SUMIF('الرعاية المديدة - الفنية'!$B$5:$B$74,$A4,'الرعاية المديدة - الفنية'!$I$5:$I$74)+SUMIF('الرعاية المديدة - الإداريون'!$B$5:$B$30,$A4,'الرعاية المديدة - الإداريون'!$I$5:$I$30)</f>
        <v/>
      </c>
    </row>
    <row r="5">
      <c r="A5" s="74" t="inlineStr">
        <is>
          <t>تمريض</t>
        </is>
      </c>
      <c r="B5" s="75">
        <f>SUMIF('عام - الأطباء'!$B$5:$B$156,$A5,'عام - الأطباء'!$K$5:$K$156)+SUMIF('عام - أخصائي غير طبيب'!$B$5:$B$77,$A5,'عام - أخصائي غير طبيب'!$K$5:$K$77)+SUMIF('عام - الفنيون'!$B$5:$B$34,$A5,'عام - الفنيون'!$K$5:$K$34)+SUMIF('عام - الصيادلة'!$B$5:$B$11,$A5,'عام - الصيادلة'!$K$5:$K$11)+SUMIF('عام - المساعد الصحي'!$B$5:$B$9,$A5,'عام - المساعد الصحي'!$K$5:$K$9)+SUMIF('عام - الإداريون'!$B$5:$B$55,$A5,'عام - الإداريون'!$K$5:$K$55)</f>
        <v/>
      </c>
      <c r="C5" s="75">
        <f>SUMIF('ولادة - الأطباء'!$B$5:$B$108,$A5,'ولادة - الأطباء'!$J$5:$J$108)+SUMIF('ولادة - أخصائي غير طبيب'!$B$5:$B$73,$A5,'ولادة - أخصائي غير طبيب'!$J$5:$J$73)+SUMIF('ولادة - الفنيون'!$B$5:$B$33,$A5,'ولادة - الفنيون'!$J$5:$J$33)+SUMIF('ولادة - الصيادلة'!$B$5:$B$11,$A5,'ولادة - الصيادلة'!$J$5:$J$11)+SUMIF('ولادة - الإداريون'!$B$5:$B$58,$A5,'ولادة - الإداريون'!$J$5:$J$58)</f>
        <v/>
      </c>
      <c r="D5" s="75">
        <f>SUMIF('الصحة النفسية وإرادة'!$B$5:$B$41,$A5,'الصحة النفسية وإرادة'!$J$5:$J$41)</f>
        <v/>
      </c>
      <c r="E5" s="75">
        <f>SUMIF('الرعاية المديدة - الفنية'!$B$5:$B$74,$A5,'الرعاية المديدة - الفنية'!$H$5:$H$74)+SUMIF('الرعاية المديدة - الإداريون'!$B$5:$B$30,$A5,'الرعاية المديدة - الإداريون'!$H$5:$H$30)</f>
        <v/>
      </c>
      <c r="F5" s="75">
        <f>SUMIF('عام - الأطباء'!$B$5:$B$156,$A5,'عام - الأطباء'!$L$5:$L$156)+SUMIF('عام - أخصائي غير طبيب'!$B$5:$B$77,$A5,'عام - أخصائي غير طبيب'!$L$5:$L$77)+SUMIF('عام - الفنيون'!$B$5:$B$34,$A5,'عام - الفنيون'!$L$5:$L$34)+SUMIF('عام - الصيادلة'!$B$5:$B$11,$A5,'عام - الصيادلة'!$L$5:$L$11)+SUMIF('عام - المساعد الصحي'!$B$5:$B$9,$A5,'عام - المساعد الصحي'!$L$5:$L$9)+SUMIF('عام - الإداريون'!$B$5:$B$55,$A5,'عام - الإداريون'!$L$5:$L$55)</f>
        <v/>
      </c>
      <c r="G5" s="75">
        <f>SUMIF('ولادة - الأطباء'!$B$5:$B$108,$A5,'ولادة - الأطباء'!$K$5:$K$108)+SUMIF('ولادة - أخصائي غير طبيب'!$B$5:$B$73,$A5,'ولادة - أخصائي غير طبيب'!$K$5:$K$73)+SUMIF('ولادة - الفنيون'!$B$5:$B$33,$A5,'ولادة - الفنيون'!$K$5:$K$33)+SUMIF('ولادة - الصيادلة'!$B$5:$B$11,$A5,'ولادة - الصيادلة'!$K$5:$K$11)+SUMIF('ولادة - الإداريون'!$B$5:$B$58,$A5,'ولادة - الإداريون'!$K$5:$K$58)</f>
        <v/>
      </c>
      <c r="H5" s="75">
        <f>SUMIF('الصحة النفسية وإرادة'!$B$5:$B$41,$A5,'الصحة النفسية وإرادة'!$K$5:$K$41)</f>
        <v/>
      </c>
      <c r="I5" s="75">
        <f>SUMIF('الرعاية المديدة - الفنية'!$B$5:$B$74,$A5,'الرعاية المديدة - الفنية'!$I$5:$I$74)+SUMIF('الرعاية المديدة - الإداريون'!$B$5:$B$30,$A5,'الرعاية المديدة - الإداريون'!$I$5:$I$30)</f>
        <v/>
      </c>
    </row>
    <row r="6">
      <c r="A6" s="74" t="inlineStr">
        <is>
          <t>قبالة</t>
        </is>
      </c>
      <c r="B6" s="75">
        <f>SUMIF('عام - الأطباء'!$B$5:$B$156,$A6,'عام - الأطباء'!$K$5:$K$156)+SUMIF('عام - أخصائي غير طبيب'!$B$5:$B$77,$A6,'عام - أخصائي غير طبيب'!$K$5:$K$77)+SUMIF('عام - الفنيون'!$B$5:$B$34,$A6,'عام - الفنيون'!$K$5:$K$34)+SUMIF('عام - الصيادلة'!$B$5:$B$11,$A6,'عام - الصيادلة'!$K$5:$K$11)+SUMIF('عام - المساعد الصحي'!$B$5:$B$9,$A6,'عام - المساعد الصحي'!$K$5:$K$9)+SUMIF('عام - الإداريون'!$B$5:$B$55,$A6,'عام - الإداريون'!$K$5:$K$55)</f>
        <v/>
      </c>
      <c r="C6" s="75">
        <f>SUMIF('ولادة - الأطباء'!$B$5:$B$108,$A6,'ولادة - الأطباء'!$J$5:$J$108)+SUMIF('ولادة - أخصائي غير طبيب'!$B$5:$B$73,$A6,'ولادة - أخصائي غير طبيب'!$J$5:$J$73)+SUMIF('ولادة - الفنيون'!$B$5:$B$33,$A6,'ولادة - الفنيون'!$J$5:$J$33)+SUMIF('ولادة - الصيادلة'!$B$5:$B$11,$A6,'ولادة - الصيادلة'!$J$5:$J$11)+SUMIF('ولادة - الإداريون'!$B$5:$B$58,$A6,'ولادة - الإداريون'!$J$5:$J$58)</f>
        <v/>
      </c>
      <c r="D6" s="75">
        <f>SUMIF('الصحة النفسية وإرادة'!$B$5:$B$41,$A6,'الصحة النفسية وإرادة'!$J$5:$J$41)</f>
        <v/>
      </c>
      <c r="E6" s="75">
        <f>SUMIF('الرعاية المديدة - الفنية'!$B$5:$B$74,$A6,'الرعاية المديدة - الفنية'!$H$5:$H$74)+SUMIF('الرعاية المديدة - الإداريون'!$B$5:$B$30,$A6,'الرعاية المديدة - الإداريون'!$H$5:$H$30)</f>
        <v/>
      </c>
      <c r="F6" s="75">
        <f>SUMIF('عام - الأطباء'!$B$5:$B$156,$A6,'عام - الأطباء'!$L$5:$L$156)+SUMIF('عام - أخصائي غير طبيب'!$B$5:$B$77,$A6,'عام - أخصائي غير طبيب'!$L$5:$L$77)+SUMIF('عام - الفنيون'!$B$5:$B$34,$A6,'عام - الفنيون'!$L$5:$L$34)+SUMIF('عام - الصيادلة'!$B$5:$B$11,$A6,'عام - الصيادلة'!$L$5:$L$11)+SUMIF('عام - المساعد الصحي'!$B$5:$B$9,$A6,'عام - المساعد الصحي'!$L$5:$L$9)+SUMIF('عام - الإداريون'!$B$5:$B$55,$A6,'عام - الإداريون'!$L$5:$L$55)</f>
        <v/>
      </c>
      <c r="G6" s="75">
        <f>SUMIF('ولادة - الأطباء'!$B$5:$B$108,$A6,'ولادة - الأطباء'!$K$5:$K$108)+SUMIF('ولادة - أخصائي غير طبيب'!$B$5:$B$73,$A6,'ولادة - أخصائي غير طبيب'!$K$5:$K$73)+SUMIF('ولادة - الفنيون'!$B$5:$B$33,$A6,'ولادة - الفنيون'!$K$5:$K$33)+SUMIF('ولادة - الصيادلة'!$B$5:$B$11,$A6,'ولادة - الصيادلة'!$K$5:$K$11)+SUMIF('ولادة - الإداريون'!$B$5:$B$58,$A6,'ولادة - الإداريون'!$K$5:$K$58)</f>
        <v/>
      </c>
      <c r="H6" s="75">
        <f>SUMIF('الصحة النفسية وإرادة'!$B$5:$B$41,$A6,'الصحة النفسية وإرادة'!$K$5:$K$41)</f>
        <v/>
      </c>
      <c r="I6" s="75">
        <f>SUMIF('الرعاية المديدة - الفنية'!$B$5:$B$74,$A6,'الرعاية المديدة - الفنية'!$I$5:$I$74)+SUMIF('الرعاية المديدة - الإداريون'!$B$5:$B$30,$A6,'الرعاية المديدة - الإداريون'!$I$5:$I$30)</f>
        <v/>
      </c>
    </row>
    <row r="7">
      <c r="A7" s="74" t="inlineStr">
        <is>
          <t>أخصائي غير طبيب</t>
        </is>
      </c>
      <c r="B7" s="75">
        <f>SUMIF('عام - الأطباء'!$B$5:$B$156,$A7,'عام - الأطباء'!$K$5:$K$156)+SUMIF('عام - أخصائي غير طبيب'!$B$5:$B$77,$A7,'عام - أخصائي غير طبيب'!$K$5:$K$77)+SUMIF('عام - الفنيون'!$B$5:$B$34,$A7,'عام - الفنيون'!$K$5:$K$34)+SUMIF('عام - الصيادلة'!$B$5:$B$11,$A7,'عام - الصيادلة'!$K$5:$K$11)+SUMIF('عام - المساعد الصحي'!$B$5:$B$9,$A7,'عام - المساعد الصحي'!$K$5:$K$9)+SUMIF('عام - الإداريون'!$B$5:$B$55,$A7,'عام - الإداريون'!$K$5:$K$55)</f>
        <v/>
      </c>
      <c r="C7" s="75">
        <f>SUMIF('ولادة - الأطباء'!$B$5:$B$108,$A7,'ولادة - الأطباء'!$J$5:$J$108)+SUMIF('ولادة - أخصائي غير طبيب'!$B$5:$B$73,$A7,'ولادة - أخصائي غير طبيب'!$J$5:$J$73)+SUMIF('ولادة - الفنيون'!$B$5:$B$33,$A7,'ولادة - الفنيون'!$J$5:$J$33)+SUMIF('ولادة - الصيادلة'!$B$5:$B$11,$A7,'ولادة - الصيادلة'!$J$5:$J$11)+SUMIF('ولادة - الإداريون'!$B$5:$B$58,$A7,'ولادة - الإداريون'!$J$5:$J$58)</f>
        <v/>
      </c>
      <c r="D7" s="75">
        <f>SUMIF('الصحة النفسية وإرادة'!$B$5:$B$41,$A7,'الصحة النفسية وإرادة'!$J$5:$J$41)</f>
        <v/>
      </c>
      <c r="E7" s="75">
        <f>SUMIF('الرعاية المديدة - الفنية'!$B$5:$B$74,$A7,'الرعاية المديدة - الفنية'!$H$5:$H$74)+SUMIF('الرعاية المديدة - الإداريون'!$B$5:$B$30,$A7,'الرعاية المديدة - الإداريون'!$H$5:$H$30)</f>
        <v/>
      </c>
      <c r="F7" s="75">
        <f>SUMIF('عام - الأطباء'!$B$5:$B$156,$A7,'عام - الأطباء'!$L$5:$L$156)+SUMIF('عام - أخصائي غير طبيب'!$B$5:$B$77,$A7,'عام - أخصائي غير طبيب'!$L$5:$L$77)+SUMIF('عام - الفنيون'!$B$5:$B$34,$A7,'عام - الفنيون'!$L$5:$L$34)+SUMIF('عام - الصيادلة'!$B$5:$B$11,$A7,'عام - الصيادلة'!$L$5:$L$11)+SUMIF('عام - المساعد الصحي'!$B$5:$B$9,$A7,'عام - المساعد الصحي'!$L$5:$L$9)+SUMIF('عام - الإداريون'!$B$5:$B$55,$A7,'عام - الإداريون'!$L$5:$L$55)</f>
        <v/>
      </c>
      <c r="G7" s="75">
        <f>SUMIF('ولادة - الأطباء'!$B$5:$B$108,$A7,'ولادة - الأطباء'!$K$5:$K$108)+SUMIF('ولادة - أخصائي غير طبيب'!$B$5:$B$73,$A7,'ولادة - أخصائي غير طبيب'!$K$5:$K$73)+SUMIF('ولادة - الفنيون'!$B$5:$B$33,$A7,'ولادة - الفنيون'!$K$5:$K$33)+SUMIF('ولادة - الصيادلة'!$B$5:$B$11,$A7,'ولادة - الصيادلة'!$K$5:$K$11)+SUMIF('ولادة - الإداريون'!$B$5:$B$58,$A7,'ولادة - الإداريون'!$K$5:$K$58)</f>
        <v/>
      </c>
      <c r="H7" s="75">
        <f>SUMIF('الصحة النفسية وإرادة'!$B$5:$B$41,$A7,'الصحة النفسية وإرادة'!$K$5:$K$41)</f>
        <v/>
      </c>
      <c r="I7" s="75">
        <f>SUMIF('الرعاية المديدة - الفنية'!$B$5:$B$74,$A7,'الرعاية المديدة - الفنية'!$I$5:$I$74)+SUMIF('الرعاية المديدة - الإداريون'!$B$5:$B$30,$A7,'الرعاية المديدة - الإداريون'!$I$5:$I$30)</f>
        <v/>
      </c>
    </row>
    <row r="8">
      <c r="A8" s="74" t="inlineStr">
        <is>
          <t>فني</t>
        </is>
      </c>
      <c r="B8" s="75">
        <f>SUMIF('عام - الأطباء'!$B$5:$B$156,$A8,'عام - الأطباء'!$K$5:$K$156)+SUMIF('عام - أخصائي غير طبيب'!$B$5:$B$77,$A8,'عام - أخصائي غير طبيب'!$K$5:$K$77)+SUMIF('عام - الفنيون'!$B$5:$B$34,$A8,'عام - الفنيون'!$K$5:$K$34)+SUMIF('عام - الصيادلة'!$B$5:$B$11,$A8,'عام - الصيادلة'!$K$5:$K$11)+SUMIF('عام - المساعد الصحي'!$B$5:$B$9,$A8,'عام - المساعد الصحي'!$K$5:$K$9)+SUMIF('عام - الإداريون'!$B$5:$B$55,$A8,'عام - الإداريون'!$K$5:$K$55)</f>
        <v/>
      </c>
      <c r="C8" s="75">
        <f>SUMIF('ولادة - الأطباء'!$B$5:$B$108,$A8,'ولادة - الأطباء'!$J$5:$J$108)+SUMIF('ولادة - أخصائي غير طبيب'!$B$5:$B$73,$A8,'ولادة - أخصائي غير طبيب'!$J$5:$J$73)+SUMIF('ولادة - الفنيون'!$B$5:$B$33,$A8,'ولادة - الفنيون'!$J$5:$J$33)+SUMIF('ولادة - الصيادلة'!$B$5:$B$11,$A8,'ولادة - الصيادلة'!$J$5:$J$11)+SUMIF('ولادة - الإداريون'!$B$5:$B$58,$A8,'ولادة - الإداريون'!$J$5:$J$58)</f>
        <v/>
      </c>
      <c r="D8" s="75">
        <f>SUMIF('الصحة النفسية وإرادة'!$B$5:$B$41,$A8,'الصحة النفسية وإرادة'!$J$5:$J$41)</f>
        <v/>
      </c>
      <c r="E8" s="75">
        <f>SUMIF('الرعاية المديدة - الفنية'!$B$5:$B$74,$A8,'الرعاية المديدة - الفنية'!$H$5:$H$74)+SUMIF('الرعاية المديدة - الإداريون'!$B$5:$B$30,$A8,'الرعاية المديدة - الإداريون'!$H$5:$H$30)</f>
        <v/>
      </c>
      <c r="F8" s="75">
        <f>SUMIF('عام - الأطباء'!$B$5:$B$156,$A8,'عام - الأطباء'!$L$5:$L$156)+SUMIF('عام - أخصائي غير طبيب'!$B$5:$B$77,$A8,'عام - أخصائي غير طبيب'!$L$5:$L$77)+SUMIF('عام - الفنيون'!$B$5:$B$34,$A8,'عام - الفنيون'!$L$5:$L$34)+SUMIF('عام - الصيادلة'!$B$5:$B$11,$A8,'عام - الصيادلة'!$L$5:$L$11)+SUMIF('عام - المساعد الصحي'!$B$5:$B$9,$A8,'عام - المساعد الصحي'!$L$5:$L$9)+SUMIF('عام - الإداريون'!$B$5:$B$55,$A8,'عام - الإداريون'!$L$5:$L$55)</f>
        <v/>
      </c>
      <c r="G8" s="75">
        <f>SUMIF('ولادة - الأطباء'!$B$5:$B$108,$A8,'ولادة - الأطباء'!$K$5:$K$108)+SUMIF('ولادة - أخصائي غير طبيب'!$B$5:$B$73,$A8,'ولادة - أخصائي غير طبيب'!$K$5:$K$73)+SUMIF('ولادة - الفنيون'!$B$5:$B$33,$A8,'ولادة - الفنيون'!$K$5:$K$33)+SUMIF('ولادة - الصيادلة'!$B$5:$B$11,$A8,'ولادة - الصيادلة'!$K$5:$K$11)+SUMIF('ولادة - الإداريون'!$B$5:$B$58,$A8,'ولادة - الإداريون'!$K$5:$K$58)</f>
        <v/>
      </c>
      <c r="H8" s="75">
        <f>SUMIF('الصحة النفسية وإرادة'!$B$5:$B$41,$A8,'الصحة النفسية وإرادة'!$K$5:$K$41)</f>
        <v/>
      </c>
      <c r="I8" s="75">
        <f>SUMIF('الرعاية المديدة - الفنية'!$B$5:$B$74,$A8,'الرعاية المديدة - الفنية'!$I$5:$I$74)+SUMIF('الرعاية المديدة - الإداريون'!$B$5:$B$30,$A8,'الرعاية المديدة - الإداريون'!$I$5:$I$30)</f>
        <v/>
      </c>
    </row>
    <row r="9">
      <c r="A9" s="74" t="inlineStr">
        <is>
          <t>صيدلي</t>
        </is>
      </c>
      <c r="B9" s="75">
        <f>SUMIF('عام - الأطباء'!$B$5:$B$156,$A9,'عام - الأطباء'!$K$5:$K$156)+SUMIF('عام - أخصائي غير طبيب'!$B$5:$B$77,$A9,'عام - أخصائي غير طبيب'!$K$5:$K$77)+SUMIF('عام - الفنيون'!$B$5:$B$34,$A9,'عام - الفنيون'!$K$5:$K$34)+SUMIF('عام - الصيادلة'!$B$5:$B$11,$A9,'عام - الصيادلة'!$K$5:$K$11)+SUMIF('عام - المساعد الصحي'!$B$5:$B$9,$A9,'عام - المساعد الصحي'!$K$5:$K$9)+SUMIF('عام - الإداريون'!$B$5:$B$55,$A9,'عام - الإداريون'!$K$5:$K$55)</f>
        <v/>
      </c>
      <c r="C9" s="75">
        <f>SUMIF('ولادة - الأطباء'!$B$5:$B$108,$A9,'ولادة - الأطباء'!$J$5:$J$108)+SUMIF('ولادة - أخصائي غير طبيب'!$B$5:$B$73,$A9,'ولادة - أخصائي غير طبيب'!$J$5:$J$73)+SUMIF('ولادة - الفنيون'!$B$5:$B$33,$A9,'ولادة - الفنيون'!$J$5:$J$33)+SUMIF('ولادة - الصيادلة'!$B$5:$B$11,$A9,'ولادة - الصيادلة'!$J$5:$J$11)+SUMIF('ولادة - الإداريون'!$B$5:$B$58,$A9,'ولادة - الإداريون'!$J$5:$J$58)</f>
        <v/>
      </c>
      <c r="D9" s="75">
        <f>SUMIF('الصحة النفسية وإرادة'!$B$5:$B$41,$A9,'الصحة النفسية وإرادة'!$J$5:$J$41)</f>
        <v/>
      </c>
      <c r="E9" s="75">
        <f>SUMIF('الرعاية المديدة - الفنية'!$B$5:$B$74,$A9,'الرعاية المديدة - الفنية'!$H$5:$H$74)+SUMIF('الرعاية المديدة - الإداريون'!$B$5:$B$30,$A9,'الرعاية المديدة - الإداريون'!$H$5:$H$30)</f>
        <v/>
      </c>
      <c r="F9" s="75">
        <f>SUMIF('عام - الأطباء'!$B$5:$B$156,$A9,'عام - الأطباء'!$L$5:$L$156)+SUMIF('عام - أخصائي غير طبيب'!$B$5:$B$77,$A9,'عام - أخصائي غير طبيب'!$L$5:$L$77)+SUMIF('عام - الفنيون'!$B$5:$B$34,$A9,'عام - الفنيون'!$L$5:$L$34)+SUMIF('عام - الصيادلة'!$B$5:$B$11,$A9,'عام - الصيادلة'!$L$5:$L$11)+SUMIF('عام - المساعد الصحي'!$B$5:$B$9,$A9,'عام - المساعد الصحي'!$L$5:$L$9)+SUMIF('عام - الإداريون'!$B$5:$B$55,$A9,'عام - الإداريون'!$L$5:$L$55)</f>
        <v/>
      </c>
      <c r="G9" s="75">
        <f>SUMIF('ولادة - الأطباء'!$B$5:$B$108,$A9,'ولادة - الأطباء'!$K$5:$K$108)+SUMIF('ولادة - أخصائي غير طبيب'!$B$5:$B$73,$A9,'ولادة - أخصائي غير طبيب'!$K$5:$K$73)+SUMIF('ولادة - الفنيون'!$B$5:$B$33,$A9,'ولادة - الفنيون'!$K$5:$K$33)+SUMIF('ولادة - الصيادلة'!$B$5:$B$11,$A9,'ولادة - الصيادلة'!$K$5:$K$11)+SUMIF('ولادة - الإداريون'!$B$5:$B$58,$A9,'ولادة - الإداريون'!$K$5:$K$58)</f>
        <v/>
      </c>
      <c r="H9" s="75">
        <f>SUMIF('الصحة النفسية وإرادة'!$B$5:$B$41,$A9,'الصحة النفسية وإرادة'!$K$5:$K$41)</f>
        <v/>
      </c>
      <c r="I9" s="75">
        <f>SUMIF('الرعاية المديدة - الفنية'!$B$5:$B$74,$A9,'الرعاية المديدة - الفنية'!$I$5:$I$74)+SUMIF('الرعاية المديدة - الإداريون'!$B$5:$B$30,$A9,'الرعاية المديدة - الإداريون'!$I$5:$I$30)</f>
        <v/>
      </c>
    </row>
    <row r="10">
      <c r="A10" s="74" t="inlineStr">
        <is>
          <t>مساعد صحي</t>
        </is>
      </c>
      <c r="B10" s="75">
        <f>SUMIF('عام - الأطباء'!$B$5:$B$156,$A10,'عام - الأطباء'!$K$5:$K$156)+SUMIF('عام - أخصائي غير طبيب'!$B$5:$B$77,$A10,'عام - أخصائي غير طبيب'!$K$5:$K$77)+SUMIF('عام - الفنيون'!$B$5:$B$34,$A10,'عام - الفنيون'!$K$5:$K$34)+SUMIF('عام - الصيادلة'!$B$5:$B$11,$A10,'عام - الصيادلة'!$K$5:$K$11)+SUMIF('عام - المساعد الصحي'!$B$5:$B$9,$A10,'عام - المساعد الصحي'!$K$5:$K$9)+SUMIF('عام - الإداريون'!$B$5:$B$55,$A10,'عام - الإداريون'!$K$5:$K$55)</f>
        <v/>
      </c>
      <c r="C10" s="75">
        <f>SUMIF('ولادة - الأطباء'!$B$5:$B$108,$A10,'ولادة - الأطباء'!$J$5:$J$108)+SUMIF('ولادة - أخصائي غير طبيب'!$B$5:$B$73,$A10,'ولادة - أخصائي غير طبيب'!$J$5:$J$73)+SUMIF('ولادة - الفنيون'!$B$5:$B$33,$A10,'ولادة - الفنيون'!$J$5:$J$33)+SUMIF('ولادة - الصيادلة'!$B$5:$B$11,$A10,'ولادة - الصيادلة'!$J$5:$J$11)+SUMIF('ولادة - الإداريون'!$B$5:$B$58,$A10,'ولادة - الإداريون'!$J$5:$J$58)</f>
        <v/>
      </c>
      <c r="D10" s="75">
        <f>SUMIF('الصحة النفسية وإرادة'!$B$5:$B$41,$A10,'الصحة النفسية وإرادة'!$J$5:$J$41)</f>
        <v/>
      </c>
      <c r="E10" s="75">
        <f>SUMIF('الرعاية المديدة - الفنية'!$B$5:$B$74,$A10,'الرعاية المديدة - الفنية'!$H$5:$H$74)+SUMIF('الرعاية المديدة - الإداريون'!$B$5:$B$30,$A10,'الرعاية المديدة - الإداريون'!$H$5:$H$30)</f>
        <v/>
      </c>
      <c r="F10" s="75">
        <f>SUMIF('عام - الأطباء'!$B$5:$B$156,$A10,'عام - الأطباء'!$L$5:$L$156)+SUMIF('عام - أخصائي غير طبيب'!$B$5:$B$77,$A10,'عام - أخصائي غير طبيب'!$L$5:$L$77)+SUMIF('عام - الفنيون'!$B$5:$B$34,$A10,'عام - الفنيون'!$L$5:$L$34)+SUMIF('عام - الصيادلة'!$B$5:$B$11,$A10,'عام - الصيادلة'!$L$5:$L$11)+SUMIF('عام - المساعد الصحي'!$B$5:$B$9,$A10,'عام - المساعد الصحي'!$L$5:$L$9)+SUMIF('عام - الإداريون'!$B$5:$B$55,$A10,'عام - الإداريون'!$L$5:$L$55)</f>
        <v/>
      </c>
      <c r="G10" s="75">
        <f>SUMIF('ولادة - الأطباء'!$B$5:$B$108,$A10,'ولادة - الأطباء'!$K$5:$K$108)+SUMIF('ولادة - أخصائي غير طبيب'!$B$5:$B$73,$A10,'ولادة - أخصائي غير طبيب'!$K$5:$K$73)+SUMIF('ولادة - الفنيون'!$B$5:$B$33,$A10,'ولادة - الفنيون'!$K$5:$K$33)+SUMIF('ولادة - الصيادلة'!$B$5:$B$11,$A10,'ولادة - الصيادلة'!$K$5:$K$11)+SUMIF('ولادة - الإداريون'!$B$5:$B$58,$A10,'ولادة - الإداريون'!$K$5:$K$58)</f>
        <v/>
      </c>
      <c r="H10" s="75">
        <f>SUMIF('الصحة النفسية وإرادة'!$B$5:$B$41,$A10,'الصحة النفسية وإرادة'!$K$5:$K$41)</f>
        <v/>
      </c>
      <c r="I10" s="75">
        <f>SUMIF('الرعاية المديدة - الفنية'!$B$5:$B$74,$A10,'الرعاية المديدة - الفنية'!$I$5:$I$74)+SUMIF('الرعاية المديدة - الإداريون'!$B$5:$B$30,$A10,'الرعاية المديدة - الإداريون'!$I$5:$I$30)</f>
        <v/>
      </c>
    </row>
    <row r="11">
      <c r="A11" s="74" t="inlineStr">
        <is>
          <t>إداري</t>
        </is>
      </c>
      <c r="B11" s="75">
        <f>SUMIF('عام - الأطباء'!$B$5:$B$156,$A11,'عام - الأطباء'!$K$5:$K$156)+SUMIF('عام - أخصائي غير طبيب'!$B$5:$B$77,$A11,'عام - أخصائي غير طبيب'!$K$5:$K$77)+SUMIF('عام - الفنيون'!$B$5:$B$34,$A11,'عام - الفنيون'!$K$5:$K$34)+SUMIF('عام - الصيادلة'!$B$5:$B$11,$A11,'عام - الصيادلة'!$K$5:$K$11)+SUMIF('عام - المساعد الصحي'!$B$5:$B$9,$A11,'عام - المساعد الصحي'!$K$5:$K$9)+SUMIF('عام - الإداريون'!$B$5:$B$55,$A11,'عام - الإداريون'!$K$5:$K$55)</f>
        <v/>
      </c>
      <c r="C11" s="75">
        <f>SUMIF('ولادة - الأطباء'!$B$5:$B$108,$A11,'ولادة - الأطباء'!$J$5:$J$108)+SUMIF('ولادة - أخصائي غير طبيب'!$B$5:$B$73,$A11,'ولادة - أخصائي غير طبيب'!$J$5:$J$73)+SUMIF('ولادة - الفنيون'!$B$5:$B$33,$A11,'ولادة - الفنيون'!$J$5:$J$33)+SUMIF('ولادة - الصيادلة'!$B$5:$B$11,$A11,'ولادة - الصيادلة'!$J$5:$J$11)+SUMIF('ولادة - الإداريون'!$B$5:$B$58,$A11,'ولادة - الإداريون'!$J$5:$J$58)</f>
        <v/>
      </c>
      <c r="D11" s="75">
        <f>SUMIF('الصحة النفسية وإرادة'!$B$5:$B$41,$A11,'الصحة النفسية وإرادة'!$J$5:$J$41)</f>
        <v/>
      </c>
      <c r="E11" s="75">
        <f>SUMIF('الرعاية المديدة - الفنية'!$B$5:$B$74,$A11,'الرعاية المديدة - الفنية'!$H$5:$H$74)+SUMIF('الرعاية المديدة - الإداريون'!$B$5:$B$30,$A11,'الرعاية المديدة - الإداريون'!$H$5:$H$30)</f>
        <v/>
      </c>
      <c r="F11" s="75">
        <f>SUMIF('عام - الأطباء'!$B$5:$B$156,$A11,'عام - الأطباء'!$L$5:$L$156)+SUMIF('عام - أخصائي غير طبيب'!$B$5:$B$77,$A11,'عام - أخصائي غير طبيب'!$L$5:$L$77)+SUMIF('عام - الفنيون'!$B$5:$B$34,$A11,'عام - الفنيون'!$L$5:$L$34)+SUMIF('عام - الصيادلة'!$B$5:$B$11,$A11,'عام - الصيادلة'!$L$5:$L$11)+SUMIF('عام - المساعد الصحي'!$B$5:$B$9,$A11,'عام - المساعد الصحي'!$L$5:$L$9)+SUMIF('عام - الإداريون'!$B$5:$B$55,$A11,'عام - الإداريون'!$L$5:$L$55)</f>
        <v/>
      </c>
      <c r="G11" s="75">
        <f>SUMIF('ولادة - الأطباء'!$B$5:$B$108,$A11,'ولادة - الأطباء'!$K$5:$K$108)+SUMIF('ولادة - أخصائي غير طبيب'!$B$5:$B$73,$A11,'ولادة - أخصائي غير طبيب'!$K$5:$K$73)+SUMIF('ولادة - الفنيون'!$B$5:$B$33,$A11,'ولادة - الفنيون'!$K$5:$K$33)+SUMIF('ولادة - الصيادلة'!$B$5:$B$11,$A11,'ولادة - الصيادلة'!$K$5:$K$11)+SUMIF('ولادة - الإداريون'!$B$5:$B$58,$A11,'ولادة - الإداريون'!$K$5:$K$58)</f>
        <v/>
      </c>
      <c r="H11" s="75">
        <f>SUMIF('الصحة النفسية وإرادة'!$B$5:$B$41,$A11,'الصحة النفسية وإرادة'!$K$5:$K$41)</f>
        <v/>
      </c>
      <c r="I11" s="75">
        <f>SUMIF('الرعاية المديدة - الفنية'!$B$5:$B$74,$A11,'الرعاية المديدة - الفنية'!$I$5:$I$74)+SUMIF('الرعاية المديدة - الإداريون'!$B$5:$B$30,$A11,'الرعاية المديدة - الإداريون'!$I$5:$I$30)</f>
        <v/>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2026-08-27T14:18:29Z</dcterms:created>
  <dcterms:modified xsi:type="dcterms:W3CDTF">2026-08-27T14:18:30Z</dcterms:modified>
</cp:coreProperties>
</file>